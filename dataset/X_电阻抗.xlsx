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2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查询 - 总压波形特征_2" description="与工作簿中“总压波形特征_2”查询的连接。" type="5" background="1" refreshedVersion="2" saveData="1">
    <dbPr connection="Provider=Microsoft.Mashup.OleDb.1;Data Source=$Workbook$;Location=总压波形特征_2;Extended Properties=&quot;&quot;" command="SELECT * FROM [总压波形特征_2]" commandType="2"/>
  </connection>
  <connection id="2" name="查询 - 时间常数_2" description="与工作簿中“时间常数_2”查询的连接。" type="5" background="1" refreshedVersion="2" saveData="1">
    <dbPr connection="Provider=Microsoft.Mashup.OleDb.1;Data Source=$Workbook$;Location=时间常数_2;Extended Properties=&quot;&quot;" command="SELECT * FROM [时间常数_2]" commandType="2"/>
  </connection>
  <connection id="3" name="查询 - 电压波形特征_2" description="与工作簿中“电压波形特征_2”查询的连接。" type="5" background="1" refreshedVersion="2" saveData="1">
    <dbPr connection="Provider=Microsoft.Mashup.OleDb.1;Data Source=$Workbook$;Location=电压波形特征_2;Extended Properties=&quot;&quot;" command="SELECT * FROM [电压波形特征_2]" commandType="2"/>
  </connection>
  <connection id="4" name="查询 - 电流波形特征_2" description="与工作簿中“电流波形特征_2”查询的连接。" type="5" background="1" refreshedVersion="2" saveData="1">
    <dbPr connection="Provider=Microsoft.Mashup.OleDb.1;Data Source=$Workbook$;Location=电流波形特征_2;Extended Properties=&quot;&quot;" command="SELECT * FROM [电流波形特征_2]" commandType="2"/>
  </connection>
  <connection id="5" name="查询 - 电荷量_2" description="与工作簿中“电荷量_2”查询的连接。" type="5" background="1" refreshedVersion="2" saveData="1">
    <dbPr connection="Provider=Microsoft.Mashup.OleDb.1;Data Source=$Workbook$;Location=电荷量_2;Extended Properties=&quot;&quot;" command="SELECT * FROM [电荷量_2]" commandType="2"/>
  </connection>
  <connection id="6" name="查询 - 能量_2" description="与工作簿中“能量_2”查询的连接。" type="5" background="1" refreshedVersion="2" saveData="1">
    <dbPr connection="Provider=Microsoft.Mashup.OleDb.1;Data Source=$Workbook$;Location=能量_2;Extended Properties=&quot;&quot;" command="SELECT * FROM [能量_2]" commandType="2"/>
  </connection>
</connections>
</file>

<file path=xl/sharedStrings.xml><?xml version="1.0" encoding="utf-8"?>
<sst xmlns="http://schemas.openxmlformats.org/spreadsheetml/2006/main" count="193" uniqueCount="69">
  <si>
    <t>数据编号</t>
  </si>
  <si>
    <t>受试者编号</t>
  </si>
  <si>
    <t>手指</t>
  </si>
  <si>
    <t>手指（优食-0 非优中-1 非优尾-2 非优食-3）</t>
  </si>
  <si>
    <t>max_u</t>
  </si>
  <si>
    <t>mean_u</t>
  </si>
  <si>
    <t>var_u</t>
  </si>
  <si>
    <t>rms_u</t>
  </si>
  <si>
    <t>crestf_u</t>
  </si>
  <si>
    <t>margin_u</t>
  </si>
  <si>
    <t>pulse_u</t>
  </si>
  <si>
    <t>waveform_u</t>
  </si>
  <si>
    <t>kur_u</t>
  </si>
  <si>
    <t>sk_u</t>
  </si>
  <si>
    <t>max_u_2</t>
  </si>
  <si>
    <t>mean_u_2</t>
  </si>
  <si>
    <t>var_u_2</t>
  </si>
  <si>
    <t>rms_u_2</t>
  </si>
  <si>
    <t>crestf_u_2</t>
  </si>
  <si>
    <t>margin_u_2</t>
  </si>
  <si>
    <t>pulse_u_2</t>
  </si>
  <si>
    <t>waveform_u_2</t>
  </si>
  <si>
    <t>kur_u_2</t>
  </si>
  <si>
    <t>sk_u_2</t>
  </si>
  <si>
    <t>max_i</t>
  </si>
  <si>
    <t>mean_i</t>
  </si>
  <si>
    <t>var_i</t>
  </si>
  <si>
    <t>rms_i</t>
  </si>
  <si>
    <t>crestf_i</t>
  </si>
  <si>
    <t>margin_i</t>
  </si>
  <si>
    <t>pulse_i</t>
  </si>
  <si>
    <t>waveform_i</t>
  </si>
  <si>
    <t>kur_i</t>
  </si>
  <si>
    <t>sk_i</t>
  </si>
  <si>
    <t>max_i_2</t>
  </si>
  <si>
    <t>mean_i_2</t>
  </si>
  <si>
    <t>var_i_2</t>
  </si>
  <si>
    <t>rms_i_2</t>
  </si>
  <si>
    <t>crestf_i_2</t>
  </si>
  <si>
    <t>margin_i_2</t>
  </si>
  <si>
    <t>pulse_i_2</t>
  </si>
  <si>
    <t>waveform_i_2</t>
  </si>
  <si>
    <t>kur_i_2</t>
  </si>
  <si>
    <t>sk_i_2</t>
  </si>
  <si>
    <t>r</t>
  </si>
  <si>
    <t>r_2</t>
  </si>
  <si>
    <t>v1-v2</t>
  </si>
  <si>
    <t>p</t>
  </si>
  <si>
    <t>p_2</t>
  </si>
  <si>
    <t>q</t>
  </si>
  <si>
    <t>q_2</t>
  </si>
  <si>
    <t>Z1</t>
  </si>
  <si>
    <t>Z2</t>
  </si>
  <si>
    <t>Z</t>
  </si>
  <si>
    <t>Phase</t>
  </si>
  <si>
    <t>R1(+)</t>
  </si>
  <si>
    <t>LOG_R1</t>
  </si>
  <si>
    <t>CPE1-T(+)</t>
  </si>
  <si>
    <t>LOG_CPE1</t>
  </si>
  <si>
    <t>CPE1-P(+)</t>
  </si>
  <si>
    <t>R3(+)</t>
  </si>
  <si>
    <t>R2(+)</t>
  </si>
  <si>
    <t>LOG_R2</t>
  </si>
  <si>
    <t>C2(+)</t>
  </si>
  <si>
    <t>LOG_C2</t>
  </si>
  <si>
    <t>优势手食指</t>
  </si>
  <si>
    <t>非优势手中指</t>
  </si>
  <si>
    <t>非优势手尾指</t>
  </si>
  <si>
    <t>非优势手食指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</si>
</sst>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129"/>
  <sheetViews>
    <sheetView tabSelected="1" topLeftCell="AN1" workbookViewId="0">
      <selection activeCell="BO18" sqref="BO18"/>
    </sheetView>
  </sheetViews>
  <sheetFormatPr defaultColWidth="9" defaultRowHeight="13.8"/>
  <cols>
    <col min="49" max="49" width="12.4444444444444" customWidth="1"/>
    <col min="51" max="51" width="12.4444444444444" customWidth="1"/>
    <col min="63" max="63" width="12.8888888888889"/>
  </cols>
  <sheetData>
    <row r="1" spans="1:6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s="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s="1" t="s">
        <v>44</v>
      </c>
      <c r="AT1" t="s">
        <v>45</v>
      </c>
      <c r="AU1" s="1" t="s">
        <v>46</v>
      </c>
      <c r="AV1" s="1" t="s">
        <v>47</v>
      </c>
      <c r="AW1" t="s">
        <v>48</v>
      </c>
      <c r="AX1" s="1" t="s">
        <v>49</v>
      </c>
      <c r="AY1" t="s">
        <v>50</v>
      </c>
      <c r="AZ1" s="1" t="s">
        <v>51</v>
      </c>
      <c r="BA1" t="s">
        <v>52</v>
      </c>
      <c r="BB1" t="s">
        <v>53</v>
      </c>
      <c r="BC1" t="s">
        <v>54</v>
      </c>
      <c r="BD1" s="1" t="s">
        <v>55</v>
      </c>
      <c r="BE1" s="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>
      <c r="A2">
        <v>0</v>
      </c>
      <c r="B2">
        <v>1</v>
      </c>
      <c r="C2" t="s">
        <v>65</v>
      </c>
      <c r="D2">
        <v>0</v>
      </c>
      <c r="E2">
        <v>6.15833</v>
      </c>
      <c r="F2">
        <v>0.843206</v>
      </c>
      <c r="G2">
        <v>0.964735</v>
      </c>
      <c r="H2">
        <v>1.29443</v>
      </c>
      <c r="I2">
        <v>4.75758</v>
      </c>
      <c r="J2">
        <v>6.15833</v>
      </c>
      <c r="K2">
        <v>7.30348</v>
      </c>
      <c r="L2">
        <v>1.53512</v>
      </c>
      <c r="M2">
        <v>10.1844</v>
      </c>
      <c r="N2">
        <v>2.55181</v>
      </c>
      <c r="O2">
        <v>5.491</v>
      </c>
      <c r="P2">
        <v>0.651822</v>
      </c>
      <c r="Q2">
        <v>0.658059</v>
      </c>
      <c r="R2">
        <v>1.04058</v>
      </c>
      <c r="S2">
        <v>5.27688</v>
      </c>
      <c r="T2">
        <v>5.491</v>
      </c>
      <c r="U2">
        <v>8.42408</v>
      </c>
      <c r="V2">
        <v>1.59641</v>
      </c>
      <c r="W2">
        <v>13.3296</v>
      </c>
      <c r="X2">
        <v>3.02724</v>
      </c>
      <c r="Y2">
        <v>0.41956</v>
      </c>
      <c r="Z2">
        <v>0.0194966</v>
      </c>
      <c r="AA2">
        <v>0.00215549</v>
      </c>
      <c r="AB2">
        <v>0.0503506</v>
      </c>
      <c r="AC2">
        <v>8.33278</v>
      </c>
      <c r="AD2">
        <v>0.41956</v>
      </c>
      <c r="AE2">
        <v>14.611</v>
      </c>
      <c r="AF2">
        <v>1.75344</v>
      </c>
      <c r="AG2">
        <v>23.5221</v>
      </c>
      <c r="AH2">
        <v>3.41435</v>
      </c>
      <c r="AI2">
        <v>0.46996</v>
      </c>
      <c r="AJ2">
        <v>0.0172564</v>
      </c>
      <c r="AK2">
        <v>0.00243657</v>
      </c>
      <c r="AL2">
        <v>0.0522864</v>
      </c>
      <c r="AM2">
        <v>8.98819</v>
      </c>
      <c r="AN2">
        <v>0.46996</v>
      </c>
      <c r="AO2">
        <v>17.843</v>
      </c>
      <c r="AP2">
        <v>1.98516</v>
      </c>
      <c r="AQ2">
        <v>33.8014</v>
      </c>
      <c r="AR2">
        <v>4.50042</v>
      </c>
      <c r="AS2">
        <f>E2/Y2</f>
        <v>14.678067499285</v>
      </c>
      <c r="AT2">
        <f>O2/AI2</f>
        <v>11.683973104094</v>
      </c>
      <c r="AU2">
        <f>E2-O2</f>
        <v>0.667330000000001</v>
      </c>
      <c r="AV2">
        <v>2.38608e-6</v>
      </c>
      <c r="AW2">
        <v>1.93683e-6</v>
      </c>
      <c r="AX2">
        <v>9.75027e-8</v>
      </c>
      <c r="AY2">
        <v>8.62992e-8</v>
      </c>
      <c r="AZ2">
        <v>1237000</v>
      </c>
      <c r="BA2">
        <v>-838133</v>
      </c>
      <c r="BB2">
        <v>1495330</v>
      </c>
      <c r="BC2">
        <v>-34.2333</v>
      </c>
      <c r="BD2">
        <v>2013600</v>
      </c>
      <c r="BE2">
        <f>LOG(BD2)</f>
        <v>6.30397320254031</v>
      </c>
      <c r="BF2">
        <v>9.3484e-10</v>
      </c>
      <c r="BG2">
        <v>-9.02926271325925</v>
      </c>
      <c r="BH2">
        <v>0.84783</v>
      </c>
      <c r="BI2">
        <v>4520</v>
      </c>
      <c r="BJ2">
        <v>77929</v>
      </c>
      <c r="BK2">
        <v>4.89169910332415</v>
      </c>
      <c r="BL2">
        <v>1.0352e-9</v>
      </c>
      <c r="BM2">
        <v>-9.63473670830127</v>
      </c>
    </row>
    <row r="3" spans="1:65">
      <c r="A3">
        <v>1</v>
      </c>
      <c r="B3">
        <v>1</v>
      </c>
      <c r="C3" t="s">
        <v>66</v>
      </c>
      <c r="D3">
        <v>1</v>
      </c>
      <c r="E3">
        <v>5.31087</v>
      </c>
      <c r="F3">
        <v>0.356703</v>
      </c>
      <c r="G3">
        <v>0.604028</v>
      </c>
      <c r="H3">
        <v>0.855069</v>
      </c>
      <c r="I3">
        <v>6.21104</v>
      </c>
      <c r="J3">
        <v>5.31087</v>
      </c>
      <c r="K3">
        <v>14.8044</v>
      </c>
      <c r="L3">
        <v>2.38357</v>
      </c>
      <c r="M3">
        <v>16.9266</v>
      </c>
      <c r="N3">
        <v>3.54386</v>
      </c>
      <c r="O3">
        <v>4.0236</v>
      </c>
      <c r="P3">
        <v>0.272007</v>
      </c>
      <c r="Q3">
        <v>0.217494</v>
      </c>
      <c r="R3">
        <v>0.539851</v>
      </c>
      <c r="S3">
        <v>7.45317</v>
      </c>
      <c r="T3">
        <v>4.0236</v>
      </c>
      <c r="U3">
        <v>14.7923</v>
      </c>
      <c r="V3">
        <v>1.9847</v>
      </c>
      <c r="W3">
        <v>30.666</v>
      </c>
      <c r="X3">
        <v>4.94856</v>
      </c>
      <c r="Y3">
        <v>0.426</v>
      </c>
      <c r="Z3">
        <v>0.0249253</v>
      </c>
      <c r="AA3">
        <v>0.00240432</v>
      </c>
      <c r="AB3">
        <v>0.055001</v>
      </c>
      <c r="AC3">
        <v>7.74532</v>
      </c>
      <c r="AD3">
        <v>0.426</v>
      </c>
      <c r="AE3">
        <v>15.1422</v>
      </c>
      <c r="AF3">
        <v>1.95501</v>
      </c>
      <c r="AG3">
        <v>30.7897</v>
      </c>
      <c r="AH3">
        <v>4.33929</v>
      </c>
      <c r="AI3">
        <v>0.48612</v>
      </c>
      <c r="AJ3">
        <v>0.0183325</v>
      </c>
      <c r="AK3">
        <v>0.0025766</v>
      </c>
      <c r="AL3">
        <v>0.0539645</v>
      </c>
      <c r="AM3">
        <v>9.00815</v>
      </c>
      <c r="AN3">
        <v>0.48612</v>
      </c>
      <c r="AO3">
        <v>19.2244</v>
      </c>
      <c r="AP3">
        <v>2.13411</v>
      </c>
      <c r="AQ3">
        <v>39.9463</v>
      </c>
      <c r="AR3">
        <v>5.14143</v>
      </c>
      <c r="AS3">
        <f t="shared" ref="AS3:AS66" si="0">E3/Y3</f>
        <v>12.4668309859155</v>
      </c>
      <c r="AT3">
        <f t="shared" ref="AT3:AT66" si="1">O3/AI3</f>
        <v>8.27696864971612</v>
      </c>
      <c r="AU3">
        <f t="shared" ref="AU3:AU66" si="2">E3-O3</f>
        <v>1.28727</v>
      </c>
      <c r="AV3">
        <v>1.70298e-6</v>
      </c>
      <c r="AW3">
        <v>1.02263e-6</v>
      </c>
      <c r="AX3">
        <v>1.24651e-7</v>
      </c>
      <c r="AY3">
        <v>9.16808e-8</v>
      </c>
      <c r="AZ3">
        <v>147500</v>
      </c>
      <c r="BA3">
        <v>-50350</v>
      </c>
      <c r="BB3">
        <v>155833</v>
      </c>
      <c r="BC3">
        <v>-18.8667</v>
      </c>
      <c r="BD3">
        <v>111480</v>
      </c>
      <c r="BE3">
        <f t="shared" ref="BE3:BE66" si="3">LOG(BD3)</f>
        <v>5.04719696004127</v>
      </c>
      <c r="BF3">
        <v>6.5348e-9</v>
      </c>
      <c r="BG3">
        <v>-8.18476769962522</v>
      </c>
      <c r="BH3">
        <v>0.72219</v>
      </c>
      <c r="BI3">
        <v>356</v>
      </c>
      <c r="BJ3">
        <v>76716</v>
      </c>
      <c r="BK3">
        <v>4.88488595048149</v>
      </c>
      <c r="BL3">
        <v>8.0883e-9</v>
      </c>
      <c r="BM3">
        <v>-8.67916852655475</v>
      </c>
    </row>
    <row r="4" spans="1:65">
      <c r="A4">
        <v>2</v>
      </c>
      <c r="B4">
        <v>1</v>
      </c>
      <c r="C4" t="s">
        <v>67</v>
      </c>
      <c r="D4">
        <v>2</v>
      </c>
      <c r="E4">
        <v>5.172</v>
      </c>
      <c r="F4">
        <v>0.437164</v>
      </c>
      <c r="G4">
        <v>0.464007</v>
      </c>
      <c r="H4">
        <v>0.809337</v>
      </c>
      <c r="I4">
        <v>6.39042</v>
      </c>
      <c r="J4">
        <v>5.172</v>
      </c>
      <c r="K4">
        <v>11.8308</v>
      </c>
      <c r="L4">
        <v>1.85134</v>
      </c>
      <c r="M4">
        <v>21.3075</v>
      </c>
      <c r="N4">
        <v>4.05371</v>
      </c>
      <c r="O4">
        <v>4.94987</v>
      </c>
      <c r="P4">
        <v>0.453955</v>
      </c>
      <c r="Q4">
        <v>0.393404</v>
      </c>
      <c r="R4">
        <v>0.77421</v>
      </c>
      <c r="S4">
        <v>6.39345</v>
      </c>
      <c r="T4">
        <v>4.94987</v>
      </c>
      <c r="U4">
        <v>10.9039</v>
      </c>
      <c r="V4">
        <v>1.70548</v>
      </c>
      <c r="W4">
        <v>22.2217</v>
      </c>
      <c r="X4">
        <v>4.11556</v>
      </c>
      <c r="Y4">
        <v>0.4312</v>
      </c>
      <c r="Z4">
        <v>0.019305</v>
      </c>
      <c r="AA4">
        <v>0.00230819</v>
      </c>
      <c r="AB4">
        <v>0.0517727</v>
      </c>
      <c r="AC4">
        <v>8.32871</v>
      </c>
      <c r="AD4">
        <v>0.4312</v>
      </c>
      <c r="AE4">
        <v>16.1336</v>
      </c>
      <c r="AF4">
        <v>1.9371</v>
      </c>
      <c r="AG4">
        <v>29.1582</v>
      </c>
      <c r="AH4">
        <v>4.04031</v>
      </c>
      <c r="AI4">
        <v>0.42792</v>
      </c>
      <c r="AJ4">
        <v>0.01757</v>
      </c>
      <c r="AK4">
        <v>0.00243083</v>
      </c>
      <c r="AL4">
        <v>0.0523359</v>
      </c>
      <c r="AM4">
        <v>8.17641</v>
      </c>
      <c r="AN4">
        <v>0.42792</v>
      </c>
      <c r="AO4">
        <v>16.9743</v>
      </c>
      <c r="AP4">
        <v>2.076</v>
      </c>
      <c r="AQ4">
        <v>35.1869</v>
      </c>
      <c r="AR4">
        <v>4.68391</v>
      </c>
      <c r="AS4">
        <f t="shared" si="0"/>
        <v>11.9944341372913</v>
      </c>
      <c r="AT4">
        <f t="shared" si="1"/>
        <v>11.5672789306412</v>
      </c>
      <c r="AU4">
        <f t="shared" si="2"/>
        <v>0.22213</v>
      </c>
      <c r="AV4">
        <v>1.52081e-6</v>
      </c>
      <c r="AW4">
        <v>1.44609e-6</v>
      </c>
      <c r="AX4">
        <v>9.65444e-8</v>
      </c>
      <c r="AY4">
        <v>8.78673e-8</v>
      </c>
      <c r="AZ4">
        <v>456000</v>
      </c>
      <c r="BA4">
        <v>-230700</v>
      </c>
      <c r="BB4">
        <v>511033</v>
      </c>
      <c r="BC4">
        <v>-26.8333</v>
      </c>
      <c r="BD4">
        <v>1221700</v>
      </c>
      <c r="BE4">
        <f t="shared" si="3"/>
        <v>6.08696457387705</v>
      </c>
      <c r="BF4">
        <v>2.4612e-8</v>
      </c>
      <c r="BG4">
        <v>-7.60885309358401</v>
      </c>
      <c r="BH4">
        <v>0.62567</v>
      </c>
      <c r="BI4">
        <v>0.035633</v>
      </c>
      <c r="BJ4">
        <v>173390</v>
      </c>
      <c r="BK4">
        <v>5.23902404660009</v>
      </c>
      <c r="BL4">
        <v>3.7239e-10</v>
      </c>
      <c r="BM4">
        <v>-10.5591066535272</v>
      </c>
    </row>
    <row r="5" spans="1:65">
      <c r="A5">
        <v>3</v>
      </c>
      <c r="B5">
        <v>1</v>
      </c>
      <c r="C5" t="s">
        <v>68</v>
      </c>
      <c r="D5">
        <v>3</v>
      </c>
      <c r="E5">
        <v>5.569</v>
      </c>
      <c r="F5">
        <v>0.748476</v>
      </c>
      <c r="G5">
        <v>0.779651</v>
      </c>
      <c r="H5">
        <v>1.15746</v>
      </c>
      <c r="I5">
        <v>4.8114</v>
      </c>
      <c r="J5">
        <v>5.569</v>
      </c>
      <c r="K5">
        <v>7.44045</v>
      </c>
      <c r="L5">
        <v>1.54642</v>
      </c>
      <c r="M5">
        <v>10.353</v>
      </c>
      <c r="N5">
        <v>2.57469</v>
      </c>
      <c r="O5">
        <v>5.491</v>
      </c>
      <c r="P5">
        <v>0.725502</v>
      </c>
      <c r="Q5">
        <v>0.721572</v>
      </c>
      <c r="R5">
        <v>1.11704</v>
      </c>
      <c r="S5">
        <v>4.91566</v>
      </c>
      <c r="T5">
        <v>5.491</v>
      </c>
      <c r="U5">
        <v>7.56855</v>
      </c>
      <c r="V5">
        <v>1.53968</v>
      </c>
      <c r="W5">
        <v>11.0527</v>
      </c>
      <c r="X5">
        <v>2.68904</v>
      </c>
      <c r="Y5">
        <v>0.47772</v>
      </c>
      <c r="Z5">
        <v>0.0849513</v>
      </c>
      <c r="AA5">
        <v>0.00240804</v>
      </c>
      <c r="AB5">
        <v>0.0981035</v>
      </c>
      <c r="AC5">
        <v>4.86955</v>
      </c>
      <c r="AD5">
        <v>0.47772</v>
      </c>
      <c r="AE5">
        <v>5.62208</v>
      </c>
      <c r="AF5">
        <v>1.15454</v>
      </c>
      <c r="AG5">
        <v>22.6586</v>
      </c>
      <c r="AH5">
        <v>3.21137</v>
      </c>
      <c r="AI5">
        <v>0.44332</v>
      </c>
      <c r="AJ5">
        <v>0.0566958</v>
      </c>
      <c r="AK5">
        <v>0.00262854</v>
      </c>
      <c r="AL5">
        <v>0.0764358</v>
      </c>
      <c r="AM5">
        <v>5.7999</v>
      </c>
      <c r="AN5">
        <v>0.44332</v>
      </c>
      <c r="AO5">
        <v>7.7615</v>
      </c>
      <c r="AP5">
        <v>1.33821</v>
      </c>
      <c r="AQ5">
        <v>19.4218</v>
      </c>
      <c r="AR5">
        <v>2.95153</v>
      </c>
      <c r="AS5">
        <f t="shared" si="0"/>
        <v>11.6574562505233</v>
      </c>
      <c r="AT5">
        <f t="shared" si="1"/>
        <v>12.386086799603</v>
      </c>
      <c r="AU5">
        <f t="shared" si="2"/>
        <v>0.0780000000000003</v>
      </c>
      <c r="AV5">
        <v>4.50972e-6</v>
      </c>
      <c r="AW5">
        <v>3.413e-6</v>
      </c>
      <c r="AX5">
        <v>4.24842e-7</v>
      </c>
      <c r="AY5">
        <v>2.83536e-7</v>
      </c>
      <c r="AZ5">
        <v>1244670</v>
      </c>
      <c r="BA5">
        <v>-880067</v>
      </c>
      <c r="BB5">
        <v>1526330</v>
      </c>
      <c r="BC5">
        <v>-35.4</v>
      </c>
      <c r="BD5">
        <v>2242100</v>
      </c>
      <c r="BE5">
        <f t="shared" si="3"/>
        <v>6.35065497867808</v>
      </c>
      <c r="BF5">
        <v>9.4696e-9</v>
      </c>
      <c r="BG5">
        <v>-8.02366836539606</v>
      </c>
      <c r="BH5">
        <v>0.7009</v>
      </c>
      <c r="BI5">
        <v>1299</v>
      </c>
      <c r="BJ5">
        <v>997630</v>
      </c>
      <c r="BK5">
        <v>5.998969500453</v>
      </c>
      <c r="BL5">
        <v>3.1556e-10</v>
      </c>
      <c r="BM5">
        <v>-10.7832009383523</v>
      </c>
    </row>
    <row r="6" spans="1:65">
      <c r="A6">
        <v>4</v>
      </c>
      <c r="B6">
        <v>2</v>
      </c>
      <c r="C6" t="s">
        <v>65</v>
      </c>
      <c r="D6">
        <v>0</v>
      </c>
      <c r="E6">
        <v>7.331</v>
      </c>
      <c r="F6">
        <v>1.00519</v>
      </c>
      <c r="G6">
        <v>1.60316</v>
      </c>
      <c r="H6">
        <v>1.61655</v>
      </c>
      <c r="I6">
        <v>4.53495</v>
      </c>
      <c r="J6">
        <v>7.331</v>
      </c>
      <c r="K6">
        <v>7.29313</v>
      </c>
      <c r="L6">
        <v>1.6082</v>
      </c>
      <c r="M6">
        <v>8.2042</v>
      </c>
      <c r="N6">
        <v>2.20656</v>
      </c>
      <c r="O6">
        <v>6.802</v>
      </c>
      <c r="P6">
        <v>0.86602</v>
      </c>
      <c r="Q6">
        <v>1.35988</v>
      </c>
      <c r="R6">
        <v>1.45245</v>
      </c>
      <c r="S6">
        <v>4.68314</v>
      </c>
      <c r="T6">
        <v>6.802</v>
      </c>
      <c r="U6">
        <v>7.77803</v>
      </c>
      <c r="V6">
        <v>1.66086</v>
      </c>
      <c r="W6">
        <v>8.4453</v>
      </c>
      <c r="X6">
        <v>2.22653</v>
      </c>
      <c r="Y6">
        <v>0.41624</v>
      </c>
      <c r="Z6">
        <v>0.0130209</v>
      </c>
      <c r="AA6">
        <v>0.00200504</v>
      </c>
      <c r="AB6">
        <v>0.0466281</v>
      </c>
      <c r="AC6">
        <v>8.9268</v>
      </c>
      <c r="AD6">
        <v>0.41624</v>
      </c>
      <c r="AE6">
        <v>15.8675</v>
      </c>
      <c r="AF6">
        <v>1.77752</v>
      </c>
      <c r="AG6">
        <v>23.8152</v>
      </c>
      <c r="AH6">
        <v>3.29273</v>
      </c>
      <c r="AI6">
        <v>0.40084</v>
      </c>
      <c r="AJ6">
        <v>0.00444397</v>
      </c>
      <c r="AK6">
        <v>0.00235333</v>
      </c>
      <c r="AL6">
        <v>0.0487094</v>
      </c>
      <c r="AM6">
        <v>8.22921</v>
      </c>
      <c r="AN6">
        <v>0.40084</v>
      </c>
      <c r="AO6">
        <v>13.9289</v>
      </c>
      <c r="AP6">
        <v>1.69261</v>
      </c>
      <c r="AQ6">
        <v>16.3216</v>
      </c>
      <c r="AR6">
        <v>2.5037</v>
      </c>
      <c r="AS6">
        <f t="shared" si="0"/>
        <v>17.6124351335768</v>
      </c>
      <c r="AT6">
        <f t="shared" si="1"/>
        <v>16.9693643348967</v>
      </c>
      <c r="AU6">
        <f t="shared" si="2"/>
        <v>0.529000000000001</v>
      </c>
      <c r="AV6">
        <v>2.70146e-6</v>
      </c>
      <c r="AW6">
        <v>2.19889e-6</v>
      </c>
      <c r="AX6">
        <v>6.51176e-8</v>
      </c>
      <c r="AY6">
        <v>2.22243e-8</v>
      </c>
      <c r="AZ6">
        <v>2049670</v>
      </c>
      <c r="BA6">
        <v>-2500330</v>
      </c>
      <c r="BB6">
        <v>3233670</v>
      </c>
      <c r="BC6">
        <v>-50.7667</v>
      </c>
      <c r="BD6">
        <v>4230800</v>
      </c>
      <c r="BE6">
        <f t="shared" si="3"/>
        <v>6.62642249568124</v>
      </c>
      <c r="BF6">
        <v>5.8123e-10</v>
      </c>
      <c r="BG6">
        <v>-9.23565197782513</v>
      </c>
      <c r="BH6">
        <v>0.85164</v>
      </c>
      <c r="BI6">
        <v>7745</v>
      </c>
      <c r="BJ6">
        <v>4224300</v>
      </c>
      <c r="BK6">
        <v>6.62575475320901</v>
      </c>
      <c r="BL6">
        <v>8.8549e-10</v>
      </c>
      <c r="BM6">
        <v>-9.90329849839</v>
      </c>
    </row>
    <row r="7" spans="1:65">
      <c r="A7">
        <v>5</v>
      </c>
      <c r="B7">
        <v>2</v>
      </c>
      <c r="C7" t="s">
        <v>66</v>
      </c>
      <c r="D7">
        <v>1</v>
      </c>
      <c r="E7">
        <v>5.641</v>
      </c>
      <c r="F7">
        <v>0.66331</v>
      </c>
      <c r="G7">
        <v>0.984534</v>
      </c>
      <c r="H7">
        <v>1.19345</v>
      </c>
      <c r="I7">
        <v>4.72664</v>
      </c>
      <c r="J7">
        <v>5.641</v>
      </c>
      <c r="K7">
        <v>8.43645</v>
      </c>
      <c r="L7">
        <v>1.78487</v>
      </c>
      <c r="M7">
        <v>8.62311</v>
      </c>
      <c r="N7">
        <v>2.30371</v>
      </c>
      <c r="O7">
        <v>5.659</v>
      </c>
      <c r="P7">
        <v>0.645568</v>
      </c>
      <c r="Q7">
        <v>0.809221</v>
      </c>
      <c r="R7">
        <v>1.10717</v>
      </c>
      <c r="S7">
        <v>5.11125</v>
      </c>
      <c r="T7">
        <v>5.659</v>
      </c>
      <c r="U7">
        <v>8.76593</v>
      </c>
      <c r="V7">
        <v>1.71503</v>
      </c>
      <c r="W7">
        <v>11.1457</v>
      </c>
      <c r="X7">
        <v>2.71915</v>
      </c>
      <c r="Y7">
        <v>0.34568</v>
      </c>
      <c r="Z7">
        <v>0.00060935</v>
      </c>
      <c r="AA7">
        <v>0.00220802</v>
      </c>
      <c r="AB7">
        <v>0.0469888</v>
      </c>
      <c r="AC7">
        <v>7.35664</v>
      </c>
      <c r="AD7">
        <v>0.34568</v>
      </c>
      <c r="AE7">
        <v>13.6151</v>
      </c>
      <c r="AF7">
        <v>1.85072</v>
      </c>
      <c r="AG7">
        <v>25.1516</v>
      </c>
      <c r="AH7">
        <v>3.49211</v>
      </c>
      <c r="AI7">
        <v>0.40624</v>
      </c>
      <c r="AJ7">
        <v>0.00118004</v>
      </c>
      <c r="AK7">
        <v>0.0022773</v>
      </c>
      <c r="AL7">
        <v>0.0477308</v>
      </c>
      <c r="AM7">
        <v>8.51106</v>
      </c>
      <c r="AN7">
        <v>0.40624</v>
      </c>
      <c r="AO7">
        <v>15.3847</v>
      </c>
      <c r="AP7">
        <v>1.80761</v>
      </c>
      <c r="AQ7">
        <v>25.7281</v>
      </c>
      <c r="AR7">
        <v>3.52876</v>
      </c>
      <c r="AS7">
        <f t="shared" si="0"/>
        <v>16.3185605183985</v>
      </c>
      <c r="AT7">
        <f t="shared" si="1"/>
        <v>13.9301890508074</v>
      </c>
      <c r="AU7">
        <f t="shared" si="2"/>
        <v>-0.0179999999999998</v>
      </c>
      <c r="AV7">
        <v>1.31852e-6</v>
      </c>
      <c r="AW7">
        <v>1.47397e-6</v>
      </c>
      <c r="AX7">
        <v>3.04736e-9</v>
      </c>
      <c r="AY7">
        <v>5.9014e-9</v>
      </c>
      <c r="AZ7">
        <v>938200</v>
      </c>
      <c r="BA7">
        <v>-608567</v>
      </c>
      <c r="BB7">
        <v>1119330</v>
      </c>
      <c r="BC7">
        <v>-33.1333</v>
      </c>
      <c r="BD7">
        <v>1251700</v>
      </c>
      <c r="BE7">
        <f t="shared" si="3"/>
        <v>6.09750025223169</v>
      </c>
      <c r="BF7">
        <v>8.291e-10</v>
      </c>
      <c r="BG7">
        <v>-9.08139308485502</v>
      </c>
      <c r="BH7">
        <v>0.86941</v>
      </c>
      <c r="BI7">
        <v>4338</v>
      </c>
      <c r="BJ7">
        <v>715460</v>
      </c>
      <c r="BK7">
        <v>5.85458535820079</v>
      </c>
      <c r="BL7">
        <v>5.0634e-9</v>
      </c>
      <c r="BM7">
        <v>-8.87712907713556</v>
      </c>
    </row>
    <row r="8" spans="1:65">
      <c r="A8">
        <v>6</v>
      </c>
      <c r="B8">
        <v>2</v>
      </c>
      <c r="C8" t="s">
        <v>67</v>
      </c>
      <c r="D8">
        <v>2</v>
      </c>
      <c r="E8">
        <v>5.677</v>
      </c>
      <c r="F8">
        <v>0.526375</v>
      </c>
      <c r="G8">
        <v>0.807977</v>
      </c>
      <c r="H8">
        <v>1.04158</v>
      </c>
      <c r="I8">
        <v>5.45038</v>
      </c>
      <c r="J8">
        <v>5.677</v>
      </c>
      <c r="K8">
        <v>10.7851</v>
      </c>
      <c r="L8">
        <v>1.97878</v>
      </c>
      <c r="M8">
        <v>13.383</v>
      </c>
      <c r="N8">
        <v>3.11157</v>
      </c>
      <c r="O8">
        <v>5.323</v>
      </c>
      <c r="P8">
        <v>0.411524</v>
      </c>
      <c r="Q8">
        <v>0.627053</v>
      </c>
      <c r="R8">
        <v>0.892345</v>
      </c>
      <c r="S8">
        <v>5.96518</v>
      </c>
      <c r="T8">
        <v>5.323</v>
      </c>
      <c r="U8">
        <v>12.9349</v>
      </c>
      <c r="V8">
        <v>2.16839</v>
      </c>
      <c r="W8">
        <v>16.3519</v>
      </c>
      <c r="X8">
        <v>3.51217</v>
      </c>
      <c r="Y8">
        <v>0.38764</v>
      </c>
      <c r="Z8">
        <v>0.00230859</v>
      </c>
      <c r="AA8">
        <v>0.00212104</v>
      </c>
      <c r="AB8">
        <v>0.046108</v>
      </c>
      <c r="AC8">
        <v>8.40723</v>
      </c>
      <c r="AD8">
        <v>0.38764</v>
      </c>
      <c r="AE8">
        <v>15.9011</v>
      </c>
      <c r="AF8">
        <v>1.89136</v>
      </c>
      <c r="AG8">
        <v>26.1219</v>
      </c>
      <c r="AH8">
        <v>3.61801</v>
      </c>
      <c r="AI8">
        <v>0.34364</v>
      </c>
      <c r="AJ8">
        <v>-0.0112611</v>
      </c>
      <c r="AK8">
        <v>0.0022428</v>
      </c>
      <c r="AL8">
        <v>0.048674</v>
      </c>
      <c r="AM8">
        <v>7.06003</v>
      </c>
      <c r="AN8">
        <v>0.34364</v>
      </c>
      <c r="AO8">
        <v>11.7194</v>
      </c>
      <c r="AP8">
        <v>1.65996</v>
      </c>
      <c r="AQ8">
        <v>22.8833</v>
      </c>
      <c r="AR8">
        <v>3.28536</v>
      </c>
      <c r="AS8">
        <f t="shared" si="0"/>
        <v>14.6450314725003</v>
      </c>
      <c r="AT8">
        <f t="shared" si="1"/>
        <v>15.4900477243627</v>
      </c>
      <c r="AU8">
        <f t="shared" si="2"/>
        <v>0.353999999999999</v>
      </c>
      <c r="AV8">
        <v>1.31703e-6</v>
      </c>
      <c r="AW8">
        <v>1.03772e-6</v>
      </c>
      <c r="AX8">
        <v>1.15453e-8</v>
      </c>
      <c r="AY8">
        <v>-5.63166e-8</v>
      </c>
      <c r="AZ8">
        <v>523833</v>
      </c>
      <c r="BA8">
        <v>-192033</v>
      </c>
      <c r="BB8">
        <v>558133</v>
      </c>
      <c r="BC8">
        <v>-20.1667</v>
      </c>
      <c r="BD8">
        <v>580520</v>
      </c>
      <c r="BE8">
        <f t="shared" si="3"/>
        <v>5.76381718658969</v>
      </c>
      <c r="BF8">
        <v>1.356e-9</v>
      </c>
      <c r="BG8">
        <v>-8.86774031046895</v>
      </c>
      <c r="BH8">
        <v>0.83057</v>
      </c>
      <c r="BI8">
        <v>4609</v>
      </c>
      <c r="BJ8">
        <v>183490</v>
      </c>
      <c r="BK8">
        <v>5.26361240066898</v>
      </c>
      <c r="BL8">
        <v>1.5082e-8</v>
      </c>
      <c r="BM8">
        <v>-8.69045499670456</v>
      </c>
    </row>
    <row r="9" spans="1:65">
      <c r="A9">
        <v>7</v>
      </c>
      <c r="B9">
        <v>2</v>
      </c>
      <c r="C9" t="s">
        <v>68</v>
      </c>
      <c r="D9">
        <v>3</v>
      </c>
      <c r="E9">
        <v>6.1584</v>
      </c>
      <c r="F9">
        <v>0.796523</v>
      </c>
      <c r="G9">
        <v>1.02965</v>
      </c>
      <c r="H9">
        <v>1.28992</v>
      </c>
      <c r="I9">
        <v>4.77425</v>
      </c>
      <c r="J9">
        <v>6.1584</v>
      </c>
      <c r="K9">
        <v>7.7316</v>
      </c>
      <c r="L9">
        <v>1.61944</v>
      </c>
      <c r="M9">
        <v>9.25944</v>
      </c>
      <c r="N9">
        <v>2.38446</v>
      </c>
      <c r="O9">
        <v>5.76187</v>
      </c>
      <c r="P9">
        <v>0.660989</v>
      </c>
      <c r="Q9">
        <v>0.768988</v>
      </c>
      <c r="R9">
        <v>1.09806</v>
      </c>
      <c r="S9">
        <v>5.2473</v>
      </c>
      <c r="T9">
        <v>5.76187</v>
      </c>
      <c r="U9">
        <v>8.71704</v>
      </c>
      <c r="V9">
        <v>1.66124</v>
      </c>
      <c r="W9">
        <v>12.2653</v>
      </c>
      <c r="X9">
        <v>2.87604</v>
      </c>
      <c r="Y9">
        <v>0.35396</v>
      </c>
      <c r="Z9">
        <v>0.00865868</v>
      </c>
      <c r="AA9">
        <v>0.00248955</v>
      </c>
      <c r="AB9">
        <v>0.0506362</v>
      </c>
      <c r="AC9">
        <v>6.99025</v>
      </c>
      <c r="AD9">
        <v>0.35396</v>
      </c>
      <c r="AE9">
        <v>11.7906</v>
      </c>
      <c r="AF9">
        <v>1.68672</v>
      </c>
      <c r="AG9">
        <v>17.6503</v>
      </c>
      <c r="AH9">
        <v>2.69019</v>
      </c>
      <c r="AI9">
        <v>0.3994</v>
      </c>
      <c r="AJ9">
        <v>0.0216227</v>
      </c>
      <c r="AK9">
        <v>0.00217995</v>
      </c>
      <c r="AL9">
        <v>0.0514496</v>
      </c>
      <c r="AM9">
        <v>7.76294</v>
      </c>
      <c r="AN9">
        <v>0.3994</v>
      </c>
      <c r="AO9">
        <v>13.9129</v>
      </c>
      <c r="AP9">
        <v>1.79222</v>
      </c>
      <c r="AQ9">
        <v>21.0866</v>
      </c>
      <c r="AR9">
        <v>3.30725</v>
      </c>
      <c r="AS9">
        <f t="shared" si="0"/>
        <v>17.398576110295</v>
      </c>
      <c r="AT9">
        <f t="shared" si="1"/>
        <v>14.4263144717076</v>
      </c>
      <c r="AU9">
        <f t="shared" si="2"/>
        <v>0.39653</v>
      </c>
      <c r="AV9">
        <v>2.12279e-6</v>
      </c>
      <c r="AW9">
        <v>2.12533e-6</v>
      </c>
      <c r="AX9">
        <v>4.33021e-8</v>
      </c>
      <c r="AY9">
        <v>1.08135e-7</v>
      </c>
      <c r="AZ9">
        <v>1287670</v>
      </c>
      <c r="BA9">
        <v>-868867</v>
      </c>
      <c r="BB9">
        <v>1558330</v>
      </c>
      <c r="BC9">
        <v>-34</v>
      </c>
      <c r="BD9">
        <v>2020700</v>
      </c>
      <c r="BE9">
        <f t="shared" si="3"/>
        <v>6.30550184146403</v>
      </c>
      <c r="BF9">
        <v>6.4597e-10</v>
      </c>
      <c r="BG9">
        <v>-9.18978765094763</v>
      </c>
      <c r="BH9">
        <v>0.86477</v>
      </c>
      <c r="BI9">
        <v>4456</v>
      </c>
      <c r="BJ9">
        <v>5576700000000</v>
      </c>
      <c r="BK9">
        <v>12.7463772821374</v>
      </c>
      <c r="BL9">
        <v>2.5831e-9</v>
      </c>
      <c r="BM9">
        <v>-9.25800585218689</v>
      </c>
    </row>
    <row r="10" spans="1:65">
      <c r="A10">
        <v>8</v>
      </c>
      <c r="B10">
        <v>3</v>
      </c>
      <c r="C10" t="s">
        <v>65</v>
      </c>
      <c r="D10">
        <v>0</v>
      </c>
      <c r="E10">
        <v>5.27453</v>
      </c>
      <c r="F10">
        <v>0.414403</v>
      </c>
      <c r="G10">
        <v>0.623284</v>
      </c>
      <c r="H10">
        <v>0.891566</v>
      </c>
      <c r="I10">
        <v>5.91603</v>
      </c>
      <c r="J10">
        <v>5.27453</v>
      </c>
      <c r="K10">
        <v>12.7271</v>
      </c>
      <c r="L10">
        <v>2.1513</v>
      </c>
      <c r="M10">
        <v>15.2825</v>
      </c>
      <c r="N10">
        <v>3.35416</v>
      </c>
      <c r="O10">
        <v>5.29273</v>
      </c>
      <c r="P10">
        <v>0.466662</v>
      </c>
      <c r="Q10">
        <v>0.546849</v>
      </c>
      <c r="R10">
        <v>0.874364</v>
      </c>
      <c r="S10">
        <v>6.05323</v>
      </c>
      <c r="T10">
        <v>5.29273</v>
      </c>
      <c r="U10">
        <v>11.3417</v>
      </c>
      <c r="V10">
        <v>1.87366</v>
      </c>
      <c r="W10">
        <v>17.2765</v>
      </c>
      <c r="X10">
        <v>3.56189</v>
      </c>
      <c r="Y10">
        <v>0.36464</v>
      </c>
      <c r="Z10">
        <v>0.00399189</v>
      </c>
      <c r="AA10">
        <v>0.00203571</v>
      </c>
      <c r="AB10">
        <v>0.0452906</v>
      </c>
      <c r="AC10">
        <v>8.05111</v>
      </c>
      <c r="AD10">
        <v>0.36464</v>
      </c>
      <c r="AE10">
        <v>15.7336</v>
      </c>
      <c r="AF10">
        <v>1.95421</v>
      </c>
      <c r="AG10">
        <v>26.7977</v>
      </c>
      <c r="AH10">
        <v>3.66203</v>
      </c>
      <c r="AI10">
        <v>0.4142</v>
      </c>
      <c r="AJ10">
        <v>0.0109774</v>
      </c>
      <c r="AK10">
        <v>0.00225376</v>
      </c>
      <c r="AL10">
        <v>0.0487218</v>
      </c>
      <c r="AM10">
        <v>8.50133</v>
      </c>
      <c r="AN10">
        <v>0.4142</v>
      </c>
      <c r="AO10">
        <v>17.7066</v>
      </c>
      <c r="AP10">
        <v>2.08281</v>
      </c>
      <c r="AQ10">
        <v>29.432</v>
      </c>
      <c r="AR10">
        <v>4.14764</v>
      </c>
      <c r="AS10">
        <f t="shared" si="0"/>
        <v>14.465034006143</v>
      </c>
      <c r="AT10">
        <f t="shared" si="1"/>
        <v>12.7781989377112</v>
      </c>
      <c r="AU10">
        <f t="shared" si="2"/>
        <v>-0.0181999999999993</v>
      </c>
      <c r="AV10">
        <v>1.15983e-6</v>
      </c>
      <c r="AW10">
        <v>1.4877e-6</v>
      </c>
      <c r="AX10">
        <v>1.99634e-8</v>
      </c>
      <c r="AY10">
        <v>5.4898e-8</v>
      </c>
      <c r="AZ10">
        <v>1229670</v>
      </c>
      <c r="BA10">
        <v>-893133</v>
      </c>
      <c r="BB10">
        <v>1521330</v>
      </c>
      <c r="BC10">
        <v>-36.1667</v>
      </c>
      <c r="BD10">
        <v>1153400</v>
      </c>
      <c r="BE10">
        <f t="shared" si="3"/>
        <v>6.06197994707488</v>
      </c>
      <c r="BF10">
        <v>7.0042e-10</v>
      </c>
      <c r="BG10">
        <v>-9.15464146143835</v>
      </c>
      <c r="BH10">
        <v>0.88173</v>
      </c>
      <c r="BI10">
        <v>3688</v>
      </c>
      <c r="BJ10">
        <v>1315100</v>
      </c>
      <c r="BK10">
        <v>6.11895877776643</v>
      </c>
      <c r="BL10">
        <v>1.0901e-9</v>
      </c>
      <c r="BM10">
        <v>-9.73766758617737</v>
      </c>
    </row>
    <row r="11" spans="1:65">
      <c r="A11">
        <v>9</v>
      </c>
      <c r="B11">
        <v>3</v>
      </c>
      <c r="C11" t="s">
        <v>66</v>
      </c>
      <c r="D11">
        <v>1</v>
      </c>
      <c r="E11">
        <v>5.774</v>
      </c>
      <c r="F11">
        <v>0.69281</v>
      </c>
      <c r="G11">
        <v>0.81551</v>
      </c>
      <c r="H11">
        <v>1.13813</v>
      </c>
      <c r="I11">
        <v>5.07325</v>
      </c>
      <c r="J11">
        <v>5.774</v>
      </c>
      <c r="K11">
        <v>8.33418</v>
      </c>
      <c r="L11">
        <v>1.64277</v>
      </c>
      <c r="M11">
        <v>11.9613</v>
      </c>
      <c r="N11">
        <v>2.86845</v>
      </c>
      <c r="O11">
        <v>4.715</v>
      </c>
      <c r="P11">
        <v>0.302181</v>
      </c>
      <c r="Q11">
        <v>0.345825</v>
      </c>
      <c r="R11">
        <v>0.661112</v>
      </c>
      <c r="S11">
        <v>7.13192</v>
      </c>
      <c r="T11">
        <v>4.715</v>
      </c>
      <c r="U11">
        <v>15.6032</v>
      </c>
      <c r="V11">
        <v>2.1878</v>
      </c>
      <c r="W11">
        <v>25.7048</v>
      </c>
      <c r="X11">
        <v>4.50665</v>
      </c>
      <c r="Y11">
        <v>0.38428</v>
      </c>
      <c r="Z11">
        <v>0.0141015</v>
      </c>
      <c r="AA11">
        <v>0.00201791</v>
      </c>
      <c r="AB11">
        <v>0.0470783</v>
      </c>
      <c r="AC11">
        <v>8.16258</v>
      </c>
      <c r="AD11">
        <v>0.38428</v>
      </c>
      <c r="AE11">
        <v>15.5333</v>
      </c>
      <c r="AF11">
        <v>1.90298</v>
      </c>
      <c r="AG11">
        <v>26.5653</v>
      </c>
      <c r="AH11">
        <v>3.73708</v>
      </c>
      <c r="AI11">
        <v>0.4258</v>
      </c>
      <c r="AJ11">
        <v>0.00240341</v>
      </c>
      <c r="AK11">
        <v>0.00231811</v>
      </c>
      <c r="AL11">
        <v>0.0482019</v>
      </c>
      <c r="AM11">
        <v>8.83368</v>
      </c>
      <c r="AN11">
        <v>0.4258</v>
      </c>
      <c r="AO11">
        <v>19.4786</v>
      </c>
      <c r="AP11">
        <v>2.20504</v>
      </c>
      <c r="AQ11">
        <v>37.2642</v>
      </c>
      <c r="AR11">
        <v>4.71795</v>
      </c>
      <c r="AS11">
        <f t="shared" si="0"/>
        <v>15.0255022379515</v>
      </c>
      <c r="AT11">
        <f t="shared" si="1"/>
        <v>11.0732738374824</v>
      </c>
      <c r="AU11">
        <f t="shared" si="2"/>
        <v>1.059</v>
      </c>
      <c r="AV11">
        <v>1.87692e-6</v>
      </c>
      <c r="AW11">
        <v>9.16246e-7</v>
      </c>
      <c r="AX11">
        <v>7.05216e-8</v>
      </c>
      <c r="AY11">
        <v>1.20194e-8</v>
      </c>
      <c r="AZ11">
        <v>884767</v>
      </c>
      <c r="BA11">
        <v>-504333</v>
      </c>
      <c r="BB11">
        <v>1018900</v>
      </c>
      <c r="BC11">
        <v>-29.7667</v>
      </c>
      <c r="BD11">
        <v>791600</v>
      </c>
      <c r="BE11">
        <f t="shared" si="3"/>
        <v>5.89850578553436</v>
      </c>
      <c r="BF11">
        <v>8.6582e-10</v>
      </c>
      <c r="BG11">
        <v>-9.06257238642617</v>
      </c>
      <c r="BH11">
        <v>0.87444</v>
      </c>
      <c r="BI11">
        <v>3481</v>
      </c>
      <c r="BJ11">
        <v>592390</v>
      </c>
      <c r="BK11">
        <v>5.7726077186853</v>
      </c>
      <c r="BL11">
        <v>1.26e-9</v>
      </c>
      <c r="BM11">
        <v>-9.19726731234592</v>
      </c>
    </row>
    <row r="12" spans="1:65">
      <c r="A12">
        <v>10</v>
      </c>
      <c r="B12">
        <v>3</v>
      </c>
      <c r="C12" t="s">
        <v>67</v>
      </c>
      <c r="D12">
        <v>2</v>
      </c>
      <c r="E12">
        <v>5.28053</v>
      </c>
      <c r="F12">
        <v>0.508762</v>
      </c>
      <c r="G12">
        <v>0.601622</v>
      </c>
      <c r="H12">
        <v>0.927545</v>
      </c>
      <c r="I12">
        <v>5.69302</v>
      </c>
      <c r="J12">
        <v>5.28053</v>
      </c>
      <c r="K12">
        <v>10.3792</v>
      </c>
      <c r="L12">
        <v>1.82314</v>
      </c>
      <c r="M12">
        <v>15.2348</v>
      </c>
      <c r="N12">
        <v>3.34518</v>
      </c>
      <c r="O12">
        <v>5.208</v>
      </c>
      <c r="P12">
        <v>0.426043</v>
      </c>
      <c r="Q12">
        <v>0.546452</v>
      </c>
      <c r="R12">
        <v>0.853144</v>
      </c>
      <c r="S12">
        <v>6.10448</v>
      </c>
      <c r="T12">
        <v>5.208</v>
      </c>
      <c r="U12">
        <v>12.2193</v>
      </c>
      <c r="V12">
        <v>2.00169</v>
      </c>
      <c r="W12">
        <v>17.3853</v>
      </c>
      <c r="X12">
        <v>3.60405</v>
      </c>
      <c r="Y12">
        <v>0.42248</v>
      </c>
      <c r="Z12">
        <v>0.00511423</v>
      </c>
      <c r="AA12">
        <v>0.00213779</v>
      </c>
      <c r="AB12">
        <v>0.0465136</v>
      </c>
      <c r="AC12">
        <v>9.08293</v>
      </c>
      <c r="AD12">
        <v>0.42248</v>
      </c>
      <c r="AE12">
        <v>19.3729</v>
      </c>
      <c r="AF12">
        <v>2.1329</v>
      </c>
      <c r="AG12">
        <v>35.0274</v>
      </c>
      <c r="AH12">
        <v>4.56056</v>
      </c>
      <c r="AI12">
        <v>0.40548</v>
      </c>
      <c r="AJ12">
        <v>0.00959352</v>
      </c>
      <c r="AK12">
        <v>0.00203219</v>
      </c>
      <c r="AL12">
        <v>0.0460849</v>
      </c>
      <c r="AM12">
        <v>8.79855</v>
      </c>
      <c r="AN12">
        <v>0.40548</v>
      </c>
      <c r="AO12">
        <v>17.5404</v>
      </c>
      <c r="AP12">
        <v>1.99356</v>
      </c>
      <c r="AQ12">
        <v>28.9166</v>
      </c>
      <c r="AR12">
        <v>3.96479</v>
      </c>
      <c r="AS12">
        <f t="shared" si="0"/>
        <v>12.4988875213028</v>
      </c>
      <c r="AT12">
        <f t="shared" si="1"/>
        <v>12.8440366972477</v>
      </c>
      <c r="AU12">
        <f t="shared" si="2"/>
        <v>0.0725299999999995</v>
      </c>
      <c r="AV12">
        <v>1.29003e-6</v>
      </c>
      <c r="AW12">
        <v>1.25737e-6</v>
      </c>
      <c r="AX12">
        <v>2.55762e-8</v>
      </c>
      <c r="AY12">
        <v>4.79772e-8</v>
      </c>
      <c r="AZ12">
        <v>1062900</v>
      </c>
      <c r="BA12">
        <v>-584533</v>
      </c>
      <c r="BB12">
        <v>1214000</v>
      </c>
      <c r="BC12">
        <v>-28.9333</v>
      </c>
      <c r="BD12">
        <v>1303400</v>
      </c>
      <c r="BE12">
        <f t="shared" si="3"/>
        <v>6.11507771665958</v>
      </c>
      <c r="BF12">
        <v>6.3463e-10</v>
      </c>
      <c r="BG12">
        <v>-9.19747940193856</v>
      </c>
      <c r="BH12">
        <v>0.90894</v>
      </c>
      <c r="BI12">
        <v>3442</v>
      </c>
      <c r="BJ12">
        <v>41378</v>
      </c>
      <c r="BK12">
        <v>4.61676949527232</v>
      </c>
      <c r="BL12">
        <v>5.867e-10</v>
      </c>
      <c r="BM12">
        <v>-9.66208172742733</v>
      </c>
    </row>
    <row r="13" spans="1:65">
      <c r="A13">
        <v>11</v>
      </c>
      <c r="B13">
        <v>3</v>
      </c>
      <c r="C13" t="s">
        <v>68</v>
      </c>
      <c r="D13">
        <v>3</v>
      </c>
      <c r="E13">
        <v>5.569</v>
      </c>
      <c r="F13">
        <v>0.514747</v>
      </c>
      <c r="G13">
        <v>0.765114</v>
      </c>
      <c r="H13">
        <v>1.01485</v>
      </c>
      <c r="I13">
        <v>5.4875</v>
      </c>
      <c r="J13">
        <v>5.569</v>
      </c>
      <c r="K13">
        <v>10.8159</v>
      </c>
      <c r="L13">
        <v>1.971</v>
      </c>
      <c r="M13">
        <v>12.5448</v>
      </c>
      <c r="N13">
        <v>2.97027</v>
      </c>
      <c r="O13">
        <v>5.1</v>
      </c>
      <c r="P13">
        <v>0.381214</v>
      </c>
      <c r="Q13">
        <v>0.503638</v>
      </c>
      <c r="R13">
        <v>0.805519</v>
      </c>
      <c r="S13">
        <v>6.33132</v>
      </c>
      <c r="T13">
        <v>5.1</v>
      </c>
      <c r="U13">
        <v>13.3783</v>
      </c>
      <c r="V13">
        <v>2.11304</v>
      </c>
      <c r="W13">
        <v>18.432</v>
      </c>
      <c r="X13">
        <v>3.70704</v>
      </c>
      <c r="Y13">
        <v>0.41236</v>
      </c>
      <c r="Z13">
        <v>0.0215293</v>
      </c>
      <c r="AA13">
        <v>0.00221567</v>
      </c>
      <c r="AB13">
        <v>0.0517565</v>
      </c>
      <c r="AC13">
        <v>7.96731</v>
      </c>
      <c r="AD13">
        <v>0.41236</v>
      </c>
      <c r="AE13">
        <v>14.9997</v>
      </c>
      <c r="AF13">
        <v>1.88266</v>
      </c>
      <c r="AG13">
        <v>24.5111</v>
      </c>
      <c r="AH13">
        <v>3.64296</v>
      </c>
      <c r="AI13">
        <v>0.37752</v>
      </c>
      <c r="AJ13">
        <v>0.0119498</v>
      </c>
      <c r="AK13">
        <v>0.00193502</v>
      </c>
      <c r="AL13">
        <v>0.0455788</v>
      </c>
      <c r="AM13">
        <v>8.2828</v>
      </c>
      <c r="AN13">
        <v>0.37752</v>
      </c>
      <c r="AO13">
        <v>17.0759</v>
      </c>
      <c r="AP13">
        <v>2.06161</v>
      </c>
      <c r="AQ13">
        <v>30.1209</v>
      </c>
      <c r="AR13">
        <v>4.11776</v>
      </c>
      <c r="AS13">
        <f t="shared" si="0"/>
        <v>13.5051896401203</v>
      </c>
      <c r="AT13">
        <f t="shared" si="1"/>
        <v>13.5092180546726</v>
      </c>
      <c r="AU13">
        <f t="shared" si="2"/>
        <v>0.469</v>
      </c>
      <c r="AV13">
        <v>1.89063e-6</v>
      </c>
      <c r="AW13">
        <v>1.16755e-6</v>
      </c>
      <c r="AX13">
        <v>1.07668e-7</v>
      </c>
      <c r="AY13">
        <v>5.97611e-8</v>
      </c>
      <c r="AZ13">
        <v>821400</v>
      </c>
      <c r="BA13">
        <v>-436933</v>
      </c>
      <c r="BB13">
        <v>931567</v>
      </c>
      <c r="BC13">
        <v>-27.8333</v>
      </c>
      <c r="BD13">
        <v>607050</v>
      </c>
      <c r="BE13">
        <f t="shared" si="3"/>
        <v>5.78322446344725</v>
      </c>
      <c r="BF13">
        <v>1.2489e-9</v>
      </c>
      <c r="BG13">
        <v>-8.90347233439356</v>
      </c>
      <c r="BH13">
        <v>0.84714</v>
      </c>
      <c r="BI13">
        <v>2401</v>
      </c>
      <c r="BJ13">
        <v>618980</v>
      </c>
      <c r="BK13">
        <v>5.79167661666154</v>
      </c>
      <c r="BL13">
        <v>9.1236e-10</v>
      </c>
      <c r="BM13">
        <v>-9.09236295074531</v>
      </c>
    </row>
    <row r="14" spans="1:65">
      <c r="A14">
        <v>12</v>
      </c>
      <c r="B14">
        <v>4</v>
      </c>
      <c r="C14" t="s">
        <v>65</v>
      </c>
      <c r="D14">
        <v>0</v>
      </c>
      <c r="E14">
        <v>6.122</v>
      </c>
      <c r="F14">
        <v>0.681645</v>
      </c>
      <c r="G14">
        <v>0.755464</v>
      </c>
      <c r="H14">
        <v>1.10452</v>
      </c>
      <c r="I14">
        <v>5.5427</v>
      </c>
      <c r="J14">
        <v>6.122</v>
      </c>
      <c r="K14">
        <v>8.98121</v>
      </c>
      <c r="L14">
        <v>1.62037</v>
      </c>
      <c r="M14">
        <v>14.7968</v>
      </c>
      <c r="N14">
        <v>3.19578</v>
      </c>
      <c r="O14">
        <v>6.273</v>
      </c>
      <c r="P14">
        <v>0.652418</v>
      </c>
      <c r="Q14">
        <v>0.801589</v>
      </c>
      <c r="R14">
        <v>1.10774</v>
      </c>
      <c r="S14">
        <v>5.66291</v>
      </c>
      <c r="T14">
        <v>6.273</v>
      </c>
      <c r="U14">
        <v>9.615</v>
      </c>
      <c r="V14">
        <v>1.69789</v>
      </c>
      <c r="W14">
        <v>14.8942</v>
      </c>
      <c r="X14">
        <v>3.20657</v>
      </c>
      <c r="Y14">
        <v>0.35332</v>
      </c>
      <c r="Z14">
        <v>-0.00235918</v>
      </c>
      <c r="AA14">
        <v>0.00217305</v>
      </c>
      <c r="AB14">
        <v>0.046671</v>
      </c>
      <c r="AC14">
        <v>7.57044</v>
      </c>
      <c r="AD14">
        <v>0.35332</v>
      </c>
      <c r="AE14">
        <v>13.0911</v>
      </c>
      <c r="AF14">
        <v>1.72924</v>
      </c>
      <c r="AG14">
        <v>21.1339</v>
      </c>
      <c r="AH14">
        <v>3.02169</v>
      </c>
      <c r="AI14">
        <v>0.40392</v>
      </c>
      <c r="AJ14">
        <v>-0.0106868</v>
      </c>
      <c r="AK14">
        <v>0.0023349</v>
      </c>
      <c r="AL14">
        <v>0.0494838</v>
      </c>
      <c r="AM14">
        <v>8.16268</v>
      </c>
      <c r="AN14">
        <v>0.40392</v>
      </c>
      <c r="AO14">
        <v>13.0157</v>
      </c>
      <c r="AP14">
        <v>1.59454</v>
      </c>
      <c r="AQ14">
        <v>23.568</v>
      </c>
      <c r="AR14">
        <v>3.1453</v>
      </c>
      <c r="AS14">
        <f t="shared" si="0"/>
        <v>17.327068945998</v>
      </c>
      <c r="AT14">
        <f t="shared" si="1"/>
        <v>15.530303030303</v>
      </c>
      <c r="AU14">
        <f t="shared" si="2"/>
        <v>-0.151</v>
      </c>
      <c r="AV14">
        <v>1.25142e-6</v>
      </c>
      <c r="AW14">
        <v>1.07082e-6</v>
      </c>
      <c r="AX14">
        <v>-1.17982e-8</v>
      </c>
      <c r="AY14">
        <v>-5.34446e-8</v>
      </c>
      <c r="AZ14">
        <v>140133</v>
      </c>
      <c r="BA14">
        <v>-37106.7</v>
      </c>
      <c r="BB14">
        <v>145000</v>
      </c>
      <c r="BC14">
        <v>-14.8333</v>
      </c>
      <c r="BD14">
        <v>94763</v>
      </c>
      <c r="BE14">
        <f t="shared" si="3"/>
        <v>4.97663880113074</v>
      </c>
      <c r="BF14">
        <v>5.4607e-9</v>
      </c>
      <c r="BG14">
        <v>-8.26275168208438</v>
      </c>
      <c r="BH14">
        <v>0.70833</v>
      </c>
      <c r="BI14">
        <v>0.00030889</v>
      </c>
      <c r="BJ14">
        <v>72249</v>
      </c>
      <c r="BK14">
        <v>4.8588318403907</v>
      </c>
      <c r="BL14">
        <v>6.1817e-9</v>
      </c>
      <c r="BM14">
        <v>-8.86735614902692</v>
      </c>
    </row>
    <row r="15" spans="1:65">
      <c r="A15">
        <v>13</v>
      </c>
      <c r="B15">
        <v>4</v>
      </c>
      <c r="C15" s="1" t="s">
        <v>66</v>
      </c>
      <c r="D15">
        <v>1</v>
      </c>
      <c r="E15">
        <v>10.326</v>
      </c>
      <c r="F15">
        <v>2.02265</v>
      </c>
      <c r="G15">
        <v>3.0512</v>
      </c>
      <c r="H15">
        <v>2.67239</v>
      </c>
      <c r="I15">
        <v>3.86395</v>
      </c>
      <c r="J15">
        <v>10.326</v>
      </c>
      <c r="K15">
        <v>5.1052</v>
      </c>
      <c r="L15">
        <v>1.32124</v>
      </c>
      <c r="M15">
        <v>7.73648</v>
      </c>
      <c r="N15">
        <v>2.11743</v>
      </c>
      <c r="O15">
        <v>11.156</v>
      </c>
      <c r="P15">
        <v>2.37686</v>
      </c>
      <c r="Q15">
        <v>5.07248</v>
      </c>
      <c r="R15">
        <v>3.27428</v>
      </c>
      <c r="S15">
        <v>3.40716</v>
      </c>
      <c r="T15">
        <v>11.156</v>
      </c>
      <c r="U15">
        <v>4.69358</v>
      </c>
      <c r="V15">
        <v>1.37757</v>
      </c>
      <c r="W15">
        <v>5.68615</v>
      </c>
      <c r="X15">
        <v>1.7839</v>
      </c>
      <c r="Y15">
        <v>0.18484</v>
      </c>
      <c r="Z15">
        <v>-0.000322839</v>
      </c>
      <c r="AA15">
        <v>0.00196624</v>
      </c>
      <c r="AB15">
        <v>0.044339</v>
      </c>
      <c r="AC15">
        <v>4.16879</v>
      </c>
      <c r="AD15">
        <v>0.18484</v>
      </c>
      <c r="AE15">
        <v>5.40279</v>
      </c>
      <c r="AF15">
        <v>1.29601</v>
      </c>
      <c r="AG15">
        <v>3.79481</v>
      </c>
      <c r="AH15">
        <v>0.504457</v>
      </c>
      <c r="AI15">
        <v>0.14336</v>
      </c>
      <c r="AJ15">
        <v>0.00468436</v>
      </c>
      <c r="AK15">
        <v>0.00176287</v>
      </c>
      <c r="AL15">
        <v>0.0422429</v>
      </c>
      <c r="AM15">
        <v>3.39371</v>
      </c>
      <c r="AN15">
        <v>0.14336</v>
      </c>
      <c r="AO15">
        <v>4.4824</v>
      </c>
      <c r="AP15">
        <v>1.3208</v>
      </c>
      <c r="AQ15">
        <v>8.25442</v>
      </c>
      <c r="AR15">
        <v>-0.813112</v>
      </c>
      <c r="AS15">
        <f t="shared" si="0"/>
        <v>55.8645314866912</v>
      </c>
      <c r="AT15">
        <f t="shared" si="1"/>
        <v>77.8180803571429</v>
      </c>
      <c r="AU15">
        <f t="shared" si="2"/>
        <v>-0.83</v>
      </c>
      <c r="AV15">
        <v>2.70376e-6</v>
      </c>
      <c r="AW15">
        <v>2.84314e-6</v>
      </c>
      <c r="AX15">
        <v>-1.61452e-9</v>
      </c>
      <c r="AY15">
        <v>2.34265e-8</v>
      </c>
      <c r="AZ15">
        <v>8335670</v>
      </c>
      <c r="BA15">
        <v>-9646000</v>
      </c>
      <c r="BB15">
        <v>12810000</v>
      </c>
      <c r="BC15">
        <v>-49.6667</v>
      </c>
      <c r="BD15">
        <v>26014000</v>
      </c>
      <c r="BE15">
        <f t="shared" si="3"/>
        <v>7.41520713590843</v>
      </c>
      <c r="BF15">
        <v>9.8586e-11</v>
      </c>
      <c r="BG15">
        <v>-10.0061847539679</v>
      </c>
      <c r="BH15">
        <v>0.89501</v>
      </c>
      <c r="BI15">
        <v>19306</v>
      </c>
      <c r="BJ15">
        <v>415770</v>
      </c>
      <c r="BK15">
        <v>5.6188531494868</v>
      </c>
      <c r="BL15">
        <v>9.3248e-11</v>
      </c>
      <c r="BM15">
        <v>-10.3694094221607</v>
      </c>
    </row>
    <row r="16" spans="1:65">
      <c r="A16">
        <v>14</v>
      </c>
      <c r="B16">
        <v>4</v>
      </c>
      <c r="C16" t="s">
        <v>67</v>
      </c>
      <c r="D16">
        <v>2</v>
      </c>
      <c r="E16">
        <v>5.118</v>
      </c>
      <c r="F16">
        <v>0.750176</v>
      </c>
      <c r="G16">
        <v>0.50261</v>
      </c>
      <c r="H16">
        <v>1.03212</v>
      </c>
      <c r="I16">
        <v>4.95872</v>
      </c>
      <c r="J16">
        <v>5.118</v>
      </c>
      <c r="K16">
        <v>6.8224</v>
      </c>
      <c r="L16">
        <v>1.37584</v>
      </c>
      <c r="M16">
        <v>13.9112</v>
      </c>
      <c r="N16">
        <v>3.09</v>
      </c>
      <c r="O16">
        <v>5.365</v>
      </c>
      <c r="P16">
        <v>0.659718</v>
      </c>
      <c r="Q16">
        <v>0.504416</v>
      </c>
      <c r="R16">
        <v>0.969301</v>
      </c>
      <c r="S16">
        <v>5.53492</v>
      </c>
      <c r="T16">
        <v>5.365</v>
      </c>
      <c r="U16">
        <v>8.13226</v>
      </c>
      <c r="V16">
        <v>1.46926</v>
      </c>
      <c r="W16">
        <v>17.011</v>
      </c>
      <c r="X16">
        <v>3.42679</v>
      </c>
      <c r="Y16">
        <v>0.40168</v>
      </c>
      <c r="Z16">
        <v>-0.022447</v>
      </c>
      <c r="AA16">
        <v>0.00245561</v>
      </c>
      <c r="AB16">
        <v>0.0543965</v>
      </c>
      <c r="AC16">
        <v>7.38429</v>
      </c>
      <c r="AD16">
        <v>0.40168</v>
      </c>
      <c r="AE16">
        <v>10.7445</v>
      </c>
      <c r="AF16">
        <v>1.45504</v>
      </c>
      <c r="AG16">
        <v>25.6856</v>
      </c>
      <c r="AH16">
        <v>3.4273</v>
      </c>
      <c r="AI16">
        <v>0.34304</v>
      </c>
      <c r="AJ16">
        <v>-0.021507</v>
      </c>
      <c r="AK16">
        <v>0.00218936</v>
      </c>
      <c r="AL16">
        <v>0.0514924</v>
      </c>
      <c r="AM16">
        <v>6.66195</v>
      </c>
      <c r="AN16">
        <v>0.34304</v>
      </c>
      <c r="AO16">
        <v>9.90713</v>
      </c>
      <c r="AP16">
        <v>1.48712</v>
      </c>
      <c r="AQ16">
        <v>24.3715</v>
      </c>
      <c r="AR16">
        <v>3.26079</v>
      </c>
      <c r="AS16">
        <f t="shared" si="0"/>
        <v>12.7414857598088</v>
      </c>
      <c r="AT16">
        <f t="shared" si="1"/>
        <v>15.6395755597015</v>
      </c>
      <c r="AU16">
        <f t="shared" si="2"/>
        <v>-0.247</v>
      </c>
      <c r="AV16">
        <v>1.11729e-7</v>
      </c>
      <c r="AW16">
        <v>2.02722e-7</v>
      </c>
      <c r="AX16">
        <v>-1.12257e-7</v>
      </c>
      <c r="AY16">
        <v>-1.07557e-7</v>
      </c>
      <c r="AZ16">
        <v>1365000</v>
      </c>
      <c r="BA16">
        <v>-1874330</v>
      </c>
      <c r="BB16">
        <v>2319670</v>
      </c>
      <c r="BC16">
        <v>-54.1</v>
      </c>
      <c r="BD16">
        <v>6999100</v>
      </c>
      <c r="BE16">
        <f t="shared" si="3"/>
        <v>6.84504219856241</v>
      </c>
      <c r="BF16">
        <v>8.7321e-10</v>
      </c>
      <c r="BG16">
        <v>-9.05888129939447</v>
      </c>
      <c r="BH16">
        <v>0.86131</v>
      </c>
      <c r="BI16">
        <v>2911</v>
      </c>
      <c r="BJ16">
        <v>274080</v>
      </c>
      <c r="BK16">
        <v>5.43787734562143</v>
      </c>
      <c r="BL16">
        <v>7.9826e-10</v>
      </c>
      <c r="BM16">
        <v>-9.70863114954842</v>
      </c>
    </row>
    <row r="17" spans="1:65">
      <c r="A17">
        <v>15</v>
      </c>
      <c r="B17">
        <v>4</v>
      </c>
      <c r="C17" t="s">
        <v>68</v>
      </c>
      <c r="D17">
        <v>3</v>
      </c>
      <c r="E17">
        <v>5.912</v>
      </c>
      <c r="F17">
        <v>0.911697</v>
      </c>
      <c r="G17">
        <v>0.749578</v>
      </c>
      <c r="H17">
        <v>1.25723</v>
      </c>
      <c r="I17">
        <v>4.70241</v>
      </c>
      <c r="J17">
        <v>5.912</v>
      </c>
      <c r="K17">
        <v>6.48461</v>
      </c>
      <c r="L17">
        <v>1.379</v>
      </c>
      <c r="M17">
        <v>11.4617</v>
      </c>
      <c r="N17">
        <v>2.69469</v>
      </c>
      <c r="O17">
        <v>5.84</v>
      </c>
      <c r="P17">
        <v>0.85303</v>
      </c>
      <c r="Q17">
        <v>0.792014</v>
      </c>
      <c r="R17">
        <v>1.23269</v>
      </c>
      <c r="S17">
        <v>4.73762</v>
      </c>
      <c r="T17">
        <v>5.84</v>
      </c>
      <c r="U17">
        <v>6.84619</v>
      </c>
      <c r="V17">
        <v>1.44507</v>
      </c>
      <c r="W17">
        <v>10.4031</v>
      </c>
      <c r="X17">
        <v>2.53073</v>
      </c>
      <c r="Y17">
        <v>0.4182</v>
      </c>
      <c r="Z17">
        <v>-0.00650482</v>
      </c>
      <c r="AA17">
        <v>0.00242486</v>
      </c>
      <c r="AB17">
        <v>0.0496657</v>
      </c>
      <c r="AC17">
        <v>8.42029</v>
      </c>
      <c r="AD17">
        <v>0.4182</v>
      </c>
      <c r="AE17">
        <v>13.6798</v>
      </c>
      <c r="AF17">
        <v>1.62462</v>
      </c>
      <c r="AG17">
        <v>23.6274</v>
      </c>
      <c r="AH17">
        <v>3.16301</v>
      </c>
      <c r="AI17">
        <v>0.3468</v>
      </c>
      <c r="AJ17">
        <v>-0.0077167</v>
      </c>
      <c r="AK17">
        <v>0.00193458</v>
      </c>
      <c r="AL17">
        <v>0.0446513</v>
      </c>
      <c r="AM17">
        <v>7.76685</v>
      </c>
      <c r="AN17">
        <v>0.3468</v>
      </c>
      <c r="AO17">
        <v>12.7432</v>
      </c>
      <c r="AP17">
        <v>1.64072</v>
      </c>
      <c r="AQ17">
        <v>23.9828</v>
      </c>
      <c r="AR17">
        <v>3.17197</v>
      </c>
      <c r="AS17">
        <f t="shared" si="0"/>
        <v>14.1367766618843</v>
      </c>
      <c r="AT17">
        <f t="shared" si="1"/>
        <v>16.8396770472895</v>
      </c>
      <c r="AU17">
        <f t="shared" si="2"/>
        <v>0.0720000000000001</v>
      </c>
      <c r="AV17">
        <v>1.07974e-6</v>
      </c>
      <c r="AW17">
        <v>6.69905e-7</v>
      </c>
      <c r="AX17">
        <v>-3.25306e-8</v>
      </c>
      <c r="AY17">
        <v>-3.85912e-8</v>
      </c>
      <c r="AZ17">
        <v>1460330</v>
      </c>
      <c r="BA17">
        <v>-1342000</v>
      </c>
      <c r="BB17">
        <v>1984330</v>
      </c>
      <c r="BC17">
        <v>-42.7333</v>
      </c>
      <c r="BD17">
        <v>1567400</v>
      </c>
      <c r="BE17">
        <f t="shared" si="3"/>
        <v>6.1951798424319</v>
      </c>
      <c r="BF17">
        <v>8.4632e-10</v>
      </c>
      <c r="BG17">
        <v>-9.07246539587671</v>
      </c>
      <c r="BH17">
        <v>0.84527</v>
      </c>
      <c r="BI17">
        <v>2333</v>
      </c>
      <c r="BJ17">
        <v>1810700</v>
      </c>
      <c r="BK17">
        <v>6.25784650159116</v>
      </c>
      <c r="BL17">
        <v>8.516e-10</v>
      </c>
      <c r="BM17">
        <v>-9.48887899344963</v>
      </c>
    </row>
    <row r="18" spans="1:65">
      <c r="A18">
        <v>16</v>
      </c>
      <c r="B18">
        <v>5</v>
      </c>
      <c r="C18" t="s">
        <v>65</v>
      </c>
      <c r="D18">
        <v>0</v>
      </c>
      <c r="E18">
        <v>5.34687</v>
      </c>
      <c r="F18">
        <v>0.63557</v>
      </c>
      <c r="G18">
        <v>0.630389</v>
      </c>
      <c r="H18">
        <v>1.01696</v>
      </c>
      <c r="I18">
        <v>5.25769</v>
      </c>
      <c r="J18">
        <v>5.34687</v>
      </c>
      <c r="K18">
        <v>8.41271</v>
      </c>
      <c r="L18">
        <v>1.60008</v>
      </c>
      <c r="M18">
        <v>13.4047</v>
      </c>
      <c r="N18">
        <v>3.02627</v>
      </c>
      <c r="O18">
        <v>5.19</v>
      </c>
      <c r="P18">
        <v>0.485983</v>
      </c>
      <c r="Q18">
        <v>0.583916</v>
      </c>
      <c r="R18">
        <v>0.905526</v>
      </c>
      <c r="S18">
        <v>5.73147</v>
      </c>
      <c r="T18">
        <v>5.19</v>
      </c>
      <c r="U18">
        <v>10.6794</v>
      </c>
      <c r="V18">
        <v>1.86329</v>
      </c>
      <c r="W18">
        <v>14.8704</v>
      </c>
      <c r="X18">
        <v>3.24391</v>
      </c>
      <c r="Y18">
        <v>0.3312</v>
      </c>
      <c r="Z18">
        <v>-0.0137379</v>
      </c>
      <c r="AA18">
        <v>0.00188274</v>
      </c>
      <c r="AB18">
        <v>0.0455092</v>
      </c>
      <c r="AC18">
        <v>7.27764</v>
      </c>
      <c r="AD18">
        <v>0.3312</v>
      </c>
      <c r="AE18">
        <v>11.1959</v>
      </c>
      <c r="AF18">
        <v>1.5384</v>
      </c>
      <c r="AG18">
        <v>20.8879</v>
      </c>
      <c r="AH18">
        <v>2.83231</v>
      </c>
      <c r="AI18">
        <v>0.39644</v>
      </c>
      <c r="AJ18">
        <v>-0.0266469</v>
      </c>
      <c r="AK18">
        <v>0.00287637</v>
      </c>
      <c r="AL18">
        <v>0.059882</v>
      </c>
      <c r="AM18">
        <v>6.62036</v>
      </c>
      <c r="AN18">
        <v>0.39644</v>
      </c>
      <c r="AO18">
        <v>9.16546</v>
      </c>
      <c r="AP18">
        <v>1.38444</v>
      </c>
      <c r="AQ18">
        <v>20.2829</v>
      </c>
      <c r="AR18">
        <v>2.88032</v>
      </c>
      <c r="AS18">
        <f t="shared" si="0"/>
        <v>16.1439311594203</v>
      </c>
      <c r="AT18">
        <f t="shared" si="1"/>
        <v>13.0915144788619</v>
      </c>
      <c r="AU18">
        <f t="shared" si="2"/>
        <v>0.15687</v>
      </c>
      <c r="AV18">
        <v>5.71818e-7</v>
      </c>
      <c r="AW18">
        <v>6.77594e-7</v>
      </c>
      <c r="AX18">
        <v>-6.87169e-8</v>
      </c>
      <c r="AY18">
        <v>-1.33288e-7</v>
      </c>
      <c r="AZ18">
        <v>1153330</v>
      </c>
      <c r="BA18">
        <v>-643000</v>
      </c>
      <c r="BB18">
        <v>1321330</v>
      </c>
      <c r="BC18">
        <v>-29.2333</v>
      </c>
      <c r="BD18">
        <v>1897300</v>
      </c>
      <c r="BE18">
        <f t="shared" si="3"/>
        <v>6.27813600671548</v>
      </c>
      <c r="BF18">
        <v>7.2196e-9</v>
      </c>
      <c r="BG18">
        <v>-8.141486863733</v>
      </c>
      <c r="BH18">
        <v>0.69809</v>
      </c>
      <c r="BI18">
        <v>1886</v>
      </c>
      <c r="BJ18">
        <v>614110</v>
      </c>
      <c r="BK18">
        <v>5.78824616937282</v>
      </c>
      <c r="BL18">
        <v>3.1137e-10</v>
      </c>
      <c r="BM18">
        <v>-10.6377814996739</v>
      </c>
    </row>
    <row r="19" spans="1:65">
      <c r="A19">
        <v>17</v>
      </c>
      <c r="B19">
        <v>5</v>
      </c>
      <c r="C19" t="s">
        <v>66</v>
      </c>
      <c r="D19">
        <v>1</v>
      </c>
      <c r="E19">
        <v>4.8654</v>
      </c>
      <c r="F19">
        <v>0.38169</v>
      </c>
      <c r="G19">
        <v>0.548705</v>
      </c>
      <c r="H19">
        <v>0.833236</v>
      </c>
      <c r="I19">
        <v>5.83916</v>
      </c>
      <c r="J19">
        <v>4.8654</v>
      </c>
      <c r="K19">
        <v>12.6715</v>
      </c>
      <c r="L19">
        <v>2.17009</v>
      </c>
      <c r="M19">
        <v>14.621</v>
      </c>
      <c r="N19">
        <v>3.2324</v>
      </c>
      <c r="O19">
        <v>4.787</v>
      </c>
      <c r="P19">
        <v>0.415504</v>
      </c>
      <c r="Q19">
        <v>0.443278</v>
      </c>
      <c r="R19">
        <v>0.78475</v>
      </c>
      <c r="S19">
        <v>6.10003</v>
      </c>
      <c r="T19">
        <v>4.787</v>
      </c>
      <c r="U19">
        <v>11.5209</v>
      </c>
      <c r="V19">
        <v>1.88867</v>
      </c>
      <c r="W19">
        <v>18.4832</v>
      </c>
      <c r="X19">
        <v>3.75065</v>
      </c>
      <c r="Y19">
        <v>0.41492</v>
      </c>
      <c r="Z19">
        <v>-0.0137159</v>
      </c>
      <c r="AA19">
        <v>0.00268159</v>
      </c>
      <c r="AB19">
        <v>0.0535647</v>
      </c>
      <c r="AC19">
        <v>7.74615</v>
      </c>
      <c r="AD19">
        <v>0.41492</v>
      </c>
      <c r="AE19">
        <v>12.404</v>
      </c>
      <c r="AF19">
        <v>1.60132</v>
      </c>
      <c r="AG19">
        <v>23.8961</v>
      </c>
      <c r="AH19">
        <v>3.30054</v>
      </c>
      <c r="AI19">
        <v>0.3714</v>
      </c>
      <c r="AJ19">
        <v>-0.0128139</v>
      </c>
      <c r="AK19">
        <v>0.00225461</v>
      </c>
      <c r="AL19">
        <v>0.0491768</v>
      </c>
      <c r="AM19">
        <v>7.55234</v>
      </c>
      <c r="AN19">
        <v>0.3714</v>
      </c>
      <c r="AO19">
        <v>12.4617</v>
      </c>
      <c r="AP19">
        <v>1.65004</v>
      </c>
      <c r="AQ19">
        <v>23.8401</v>
      </c>
      <c r="AR19">
        <v>3.16532</v>
      </c>
      <c r="AS19">
        <f t="shared" si="0"/>
        <v>11.7261158777596</v>
      </c>
      <c r="AT19">
        <f t="shared" si="1"/>
        <v>12.8890683898761</v>
      </c>
      <c r="AU19">
        <f t="shared" si="2"/>
        <v>0.0784000000000002</v>
      </c>
      <c r="AV19">
        <v>1.00089e-6</v>
      </c>
      <c r="AW19">
        <v>8.34619e-7</v>
      </c>
      <c r="AX19">
        <v>-6.86067e-8</v>
      </c>
      <c r="AY19">
        <v>-6.40949e-8</v>
      </c>
      <c r="AZ19">
        <v>987800</v>
      </c>
      <c r="BA19">
        <v>-596067</v>
      </c>
      <c r="BB19">
        <v>1154330</v>
      </c>
      <c r="BC19">
        <v>-31.2333</v>
      </c>
      <c r="BD19">
        <v>1478300</v>
      </c>
      <c r="BE19">
        <f t="shared" si="3"/>
        <v>6.16976257690292</v>
      </c>
      <c r="BF19">
        <v>1.3015e-9</v>
      </c>
      <c r="BG19">
        <v>-8.88555582755474</v>
      </c>
      <c r="BH19">
        <v>0.84615</v>
      </c>
      <c r="BI19">
        <v>2594</v>
      </c>
      <c r="BJ19">
        <v>158750</v>
      </c>
      <c r="BK19">
        <v>5.20071373396401</v>
      </c>
      <c r="BL19">
        <v>7.5429e-10</v>
      </c>
      <c r="BM19">
        <v>-10.1675038608487</v>
      </c>
    </row>
    <row r="20" spans="1:65">
      <c r="A20">
        <v>18</v>
      </c>
      <c r="B20">
        <v>5</v>
      </c>
      <c r="C20" t="s">
        <v>67</v>
      </c>
      <c r="D20">
        <v>2</v>
      </c>
      <c r="E20">
        <v>6.008</v>
      </c>
      <c r="F20">
        <v>0.477361</v>
      </c>
      <c r="G20">
        <v>1.07824</v>
      </c>
      <c r="H20">
        <v>1.14276</v>
      </c>
      <c r="I20">
        <v>5.25745</v>
      </c>
      <c r="J20">
        <v>6.008</v>
      </c>
      <c r="K20">
        <v>11.0336</v>
      </c>
      <c r="L20">
        <v>2.09866</v>
      </c>
      <c r="M20">
        <v>10.6817</v>
      </c>
      <c r="N20">
        <v>2.69545</v>
      </c>
      <c r="O20">
        <v>5.77373</v>
      </c>
      <c r="P20">
        <v>0.54687</v>
      </c>
      <c r="Q20">
        <v>0.770557</v>
      </c>
      <c r="R20">
        <v>1.03415</v>
      </c>
      <c r="S20">
        <v>5.58306</v>
      </c>
      <c r="T20">
        <v>5.77373</v>
      </c>
      <c r="U20">
        <v>10.5578</v>
      </c>
      <c r="V20">
        <v>1.89104</v>
      </c>
      <c r="W20">
        <v>13.9094</v>
      </c>
      <c r="X20">
        <v>3.12827</v>
      </c>
      <c r="Y20">
        <v>0.3418</v>
      </c>
      <c r="Z20">
        <v>-0.0186374</v>
      </c>
      <c r="AA20">
        <v>0.00221942</v>
      </c>
      <c r="AB20">
        <v>0.0506589</v>
      </c>
      <c r="AC20">
        <v>6.74708</v>
      </c>
      <c r="AD20">
        <v>0.3418</v>
      </c>
      <c r="AE20">
        <v>9.70026</v>
      </c>
      <c r="AF20">
        <v>1.4377</v>
      </c>
      <c r="AG20">
        <v>17.8558</v>
      </c>
      <c r="AH20">
        <v>2.57634</v>
      </c>
      <c r="AI20">
        <v>0.33432</v>
      </c>
      <c r="AJ20">
        <v>-0.0193937</v>
      </c>
      <c r="AK20">
        <v>0.00226029</v>
      </c>
      <c r="AL20">
        <v>0.0513416</v>
      </c>
      <c r="AM20">
        <v>6.51168</v>
      </c>
      <c r="AN20">
        <v>0.33432</v>
      </c>
      <c r="AO20">
        <v>9.29868</v>
      </c>
      <c r="AP20">
        <v>1.428</v>
      </c>
      <c r="AQ20">
        <v>16.4475</v>
      </c>
      <c r="AR20">
        <v>2.46958</v>
      </c>
      <c r="AS20">
        <f t="shared" si="0"/>
        <v>17.5775307197191</v>
      </c>
      <c r="AT20">
        <f t="shared" si="1"/>
        <v>17.2700705910505</v>
      </c>
      <c r="AU20">
        <f t="shared" si="2"/>
        <v>0.23427</v>
      </c>
      <c r="AV20">
        <v>7.51125e-7</v>
      </c>
      <c r="AW20">
        <v>8.58127e-7</v>
      </c>
      <c r="AX20">
        <v>-9.32244e-8</v>
      </c>
      <c r="AY20">
        <v>-9.70074e-8</v>
      </c>
      <c r="AZ20">
        <v>1388670</v>
      </c>
      <c r="BA20">
        <v>-1122000</v>
      </c>
      <c r="BB20">
        <v>1786000</v>
      </c>
      <c r="BC20">
        <v>-39.1</v>
      </c>
      <c r="BD20">
        <v>2840500</v>
      </c>
      <c r="BE20">
        <f t="shared" si="3"/>
        <v>6.45339479361328</v>
      </c>
      <c r="BF20">
        <v>3.1793e-9</v>
      </c>
      <c r="BG20">
        <v>-8.49766848995331</v>
      </c>
      <c r="BH20">
        <v>0.75827</v>
      </c>
      <c r="BI20">
        <v>4194</v>
      </c>
      <c r="BJ20">
        <v>737860</v>
      </c>
      <c r="BK20">
        <v>5.86797396752053</v>
      </c>
      <c r="BL20">
        <v>4.0228e-10</v>
      </c>
      <c r="BM20">
        <v>-10.3047109968599</v>
      </c>
    </row>
    <row r="21" spans="1:65">
      <c r="A21">
        <v>19</v>
      </c>
      <c r="B21">
        <v>5</v>
      </c>
      <c r="C21" t="s">
        <v>68</v>
      </c>
      <c r="D21">
        <v>3</v>
      </c>
      <c r="E21">
        <v>6.531</v>
      </c>
      <c r="F21">
        <v>0.868084</v>
      </c>
      <c r="G21">
        <v>1.09709</v>
      </c>
      <c r="H21">
        <v>1.36031</v>
      </c>
      <c r="I21">
        <v>4.80112</v>
      </c>
      <c r="J21">
        <v>6.531</v>
      </c>
      <c r="K21">
        <v>7.52346</v>
      </c>
      <c r="L21">
        <v>1.56702</v>
      </c>
      <c r="M21">
        <v>10.1827</v>
      </c>
      <c r="N21">
        <v>2.53586</v>
      </c>
      <c r="O21">
        <v>5.425</v>
      </c>
      <c r="P21">
        <v>0.488025</v>
      </c>
      <c r="Q21">
        <v>0.774624</v>
      </c>
      <c r="R21">
        <v>1.0063</v>
      </c>
      <c r="S21">
        <v>5.39104</v>
      </c>
      <c r="T21">
        <v>5.425</v>
      </c>
      <c r="U21">
        <v>10.64</v>
      </c>
      <c r="V21">
        <v>1.97365</v>
      </c>
      <c r="W21">
        <v>11.363</v>
      </c>
      <c r="X21">
        <v>2.74155</v>
      </c>
      <c r="Y21">
        <v>0.44292</v>
      </c>
      <c r="Z21">
        <v>0.0658127</v>
      </c>
      <c r="AA21">
        <v>0.00308871</v>
      </c>
      <c r="AB21">
        <v>0.0861359</v>
      </c>
      <c r="AC21">
        <v>5.14211</v>
      </c>
      <c r="AD21">
        <v>0.44292</v>
      </c>
      <c r="AE21">
        <v>6.66402</v>
      </c>
      <c r="AF21">
        <v>1.29597</v>
      </c>
      <c r="AG21">
        <v>11.2237</v>
      </c>
      <c r="AH21">
        <v>1.91111</v>
      </c>
      <c r="AI21">
        <v>0.38724</v>
      </c>
      <c r="AJ21">
        <v>-0.0286978</v>
      </c>
      <c r="AK21">
        <v>0.00265428</v>
      </c>
      <c r="AL21">
        <v>0.0589687</v>
      </c>
      <c r="AM21">
        <v>6.56687</v>
      </c>
      <c r="AN21">
        <v>0.38724</v>
      </c>
      <c r="AO21">
        <v>9.03132</v>
      </c>
      <c r="AP21">
        <v>1.37528</v>
      </c>
      <c r="AQ21">
        <v>19.9666</v>
      </c>
      <c r="AR21">
        <v>2.83954</v>
      </c>
      <c r="AS21">
        <f t="shared" si="0"/>
        <v>14.7453264697914</v>
      </c>
      <c r="AT21">
        <f t="shared" si="1"/>
        <v>14.0093998553868</v>
      </c>
      <c r="AU21">
        <f t="shared" si="2"/>
        <v>1.106</v>
      </c>
      <c r="AV21">
        <v>5.01855e-6</v>
      </c>
      <c r="AW21">
        <v>7.4202e-7</v>
      </c>
      <c r="AX21">
        <v>3.29129e-7</v>
      </c>
      <c r="AY21">
        <v>-1.43517e-7</v>
      </c>
      <c r="AZ21">
        <v>903567</v>
      </c>
      <c r="BA21">
        <v>-383967</v>
      </c>
      <c r="BB21">
        <v>985233</v>
      </c>
      <c r="BC21">
        <v>-23.9667</v>
      </c>
      <c r="BD21">
        <v>831890</v>
      </c>
      <c r="BE21">
        <f t="shared" si="3"/>
        <v>5.92006590375308</v>
      </c>
      <c r="BF21">
        <v>1.4572e-9</v>
      </c>
      <c r="BG21">
        <v>-8.83648083743012</v>
      </c>
      <c r="BH21">
        <v>0.83592</v>
      </c>
      <c r="BI21">
        <v>2151</v>
      </c>
      <c r="BJ21">
        <v>363390</v>
      </c>
      <c r="BK21">
        <v>5.56037297194127</v>
      </c>
      <c r="BL21">
        <v>9.0788e-10</v>
      </c>
      <c r="BM21">
        <v>-9.0838883577257</v>
      </c>
    </row>
    <row r="22" spans="1:65">
      <c r="A22">
        <v>20</v>
      </c>
      <c r="B22">
        <v>6</v>
      </c>
      <c r="C22" t="s">
        <v>65</v>
      </c>
      <c r="D22">
        <v>0</v>
      </c>
      <c r="E22">
        <v>5.046</v>
      </c>
      <c r="F22">
        <v>0.444853</v>
      </c>
      <c r="G22">
        <v>0.547001</v>
      </c>
      <c r="H22">
        <v>0.86301</v>
      </c>
      <c r="I22">
        <v>5.84698</v>
      </c>
      <c r="J22">
        <v>5.046</v>
      </c>
      <c r="K22">
        <v>11.3431</v>
      </c>
      <c r="L22">
        <v>1.93999</v>
      </c>
      <c r="M22">
        <v>15.9864</v>
      </c>
      <c r="N22">
        <v>3.42254</v>
      </c>
      <c r="O22">
        <v>5.31087</v>
      </c>
      <c r="P22">
        <v>0.648904</v>
      </c>
      <c r="Q22">
        <v>0.629126</v>
      </c>
      <c r="R22">
        <v>1.02473</v>
      </c>
      <c r="S22">
        <v>5.18269</v>
      </c>
      <c r="T22">
        <v>5.31087</v>
      </c>
      <c r="U22">
        <v>8.18437</v>
      </c>
      <c r="V22">
        <v>1.57917</v>
      </c>
      <c r="W22">
        <v>12.8115</v>
      </c>
      <c r="X22">
        <v>2.95678</v>
      </c>
      <c r="Y22">
        <v>0.24024</v>
      </c>
      <c r="Z22">
        <v>-0.127246</v>
      </c>
      <c r="AA22">
        <v>0.00212366</v>
      </c>
      <c r="AB22">
        <v>0.135332</v>
      </c>
      <c r="AC22">
        <v>1.77519</v>
      </c>
      <c r="AD22">
        <v>0.24024</v>
      </c>
      <c r="AE22">
        <v>1.83807</v>
      </c>
      <c r="AF22">
        <v>1.03542</v>
      </c>
      <c r="AG22">
        <v>18.6681</v>
      </c>
      <c r="AH22">
        <v>2.72806</v>
      </c>
      <c r="AI22">
        <v>0.2216</v>
      </c>
      <c r="AJ22">
        <v>-0.142151</v>
      </c>
      <c r="AK22">
        <v>0.00187248</v>
      </c>
      <c r="AL22">
        <v>0.14859</v>
      </c>
      <c r="AM22">
        <v>1.49136</v>
      </c>
      <c r="AN22">
        <v>0.2216</v>
      </c>
      <c r="AO22">
        <v>1.5292</v>
      </c>
      <c r="AP22">
        <v>1.02537</v>
      </c>
      <c r="AQ22">
        <v>20.8189</v>
      </c>
      <c r="AR22">
        <v>3.08428</v>
      </c>
      <c r="AS22">
        <f t="shared" si="0"/>
        <v>21.003996003996</v>
      </c>
      <c r="AT22">
        <f t="shared" si="1"/>
        <v>23.9660198555957</v>
      </c>
      <c r="AU22">
        <f t="shared" si="2"/>
        <v>-0.26487</v>
      </c>
      <c r="AV22">
        <v>-1.82785e-6</v>
      </c>
      <c r="AW22">
        <v>-3.68633e-6</v>
      </c>
      <c r="AX22">
        <v>-6.36358e-7</v>
      </c>
      <c r="AY22">
        <v>-7.10895e-7</v>
      </c>
      <c r="AZ22">
        <v>1466330</v>
      </c>
      <c r="BA22">
        <v>-966833</v>
      </c>
      <c r="BB22">
        <v>1759000</v>
      </c>
      <c r="BC22">
        <v>-33.5667</v>
      </c>
      <c r="BD22">
        <v>2382800</v>
      </c>
      <c r="BE22">
        <f t="shared" si="3"/>
        <v>6.37708759142681</v>
      </c>
      <c r="BF22">
        <v>1.2907e-9</v>
      </c>
      <c r="BG22">
        <v>-8.88917468994503</v>
      </c>
      <c r="BH22">
        <v>0.81721</v>
      </c>
      <c r="BI22">
        <v>2660</v>
      </c>
      <c r="BJ22">
        <v>316830</v>
      </c>
      <c r="BK22">
        <v>5.5008262973417</v>
      </c>
      <c r="BL22">
        <v>5.7949e-10</v>
      </c>
      <c r="BM22">
        <v>-9.60885309358401</v>
      </c>
    </row>
    <row r="23" spans="1:65">
      <c r="A23">
        <v>21</v>
      </c>
      <c r="B23">
        <v>6</v>
      </c>
      <c r="C23" t="s">
        <v>66</v>
      </c>
      <c r="D23">
        <v>1</v>
      </c>
      <c r="E23">
        <v>5.7134</v>
      </c>
      <c r="F23">
        <v>0.540986</v>
      </c>
      <c r="G23">
        <v>0.624428</v>
      </c>
      <c r="H23">
        <v>0.957585</v>
      </c>
      <c r="I23">
        <v>5.96647</v>
      </c>
      <c r="J23">
        <v>5.7134</v>
      </c>
      <c r="K23">
        <v>10.5611</v>
      </c>
      <c r="L23">
        <v>1.77007</v>
      </c>
      <c r="M23">
        <v>17.2954</v>
      </c>
      <c r="N23">
        <v>3.57436</v>
      </c>
      <c r="O23">
        <v>5.539</v>
      </c>
      <c r="P23">
        <v>0.472396</v>
      </c>
      <c r="Q23">
        <v>0.592064</v>
      </c>
      <c r="R23">
        <v>0.902831</v>
      </c>
      <c r="S23">
        <v>6.13515</v>
      </c>
      <c r="T23">
        <v>5.539</v>
      </c>
      <c r="U23">
        <v>11.7253</v>
      </c>
      <c r="V23">
        <v>1.91117</v>
      </c>
      <c r="W23">
        <v>17.7064</v>
      </c>
      <c r="X23">
        <v>3.60454</v>
      </c>
      <c r="Y23">
        <v>0.24588</v>
      </c>
      <c r="Z23">
        <v>-0.131605</v>
      </c>
      <c r="AA23">
        <v>0.00214649</v>
      </c>
      <c r="AB23">
        <v>0.139521</v>
      </c>
      <c r="AC23">
        <v>1.76232</v>
      </c>
      <c r="AD23">
        <v>0.24588</v>
      </c>
      <c r="AE23">
        <v>1.82504</v>
      </c>
      <c r="AF23">
        <v>1.03559</v>
      </c>
      <c r="AG23">
        <v>17.8139</v>
      </c>
      <c r="AH23">
        <v>2.654</v>
      </c>
      <c r="AI23">
        <v>0.2522</v>
      </c>
      <c r="AJ23">
        <v>-0.136833</v>
      </c>
      <c r="AK23">
        <v>0.00235449</v>
      </c>
      <c r="AL23">
        <v>0.14518</v>
      </c>
      <c r="AM23">
        <v>1.73715</v>
      </c>
      <c r="AN23">
        <v>0.2522</v>
      </c>
      <c r="AO23">
        <v>1.7979</v>
      </c>
      <c r="AP23">
        <v>1.03497</v>
      </c>
      <c r="AQ23">
        <v>18.8529</v>
      </c>
      <c r="AR23">
        <v>2.80751</v>
      </c>
      <c r="AS23">
        <f t="shared" si="0"/>
        <v>23.2365381486904</v>
      </c>
      <c r="AT23">
        <f t="shared" si="1"/>
        <v>21.9627279936558</v>
      </c>
      <c r="AU23">
        <f t="shared" si="2"/>
        <v>0.1744</v>
      </c>
      <c r="AV23">
        <v>-2.44716e-6</v>
      </c>
      <c r="AW23">
        <v>-2.04843e-6</v>
      </c>
      <c r="AX23">
        <v>-6.58158e-7</v>
      </c>
      <c r="AY23">
        <v>-6.84303e-7</v>
      </c>
      <c r="AZ23">
        <v>1048770</v>
      </c>
      <c r="BA23">
        <v>-443233</v>
      </c>
      <c r="BB23">
        <v>1138670</v>
      </c>
      <c r="BC23">
        <v>-22.9667</v>
      </c>
      <c r="BD23">
        <v>1315500</v>
      </c>
      <c r="BE23">
        <f t="shared" si="3"/>
        <v>6.11909085242172</v>
      </c>
      <c r="BF23">
        <v>1.0942e-9</v>
      </c>
      <c r="BG23">
        <v>-8.96090328955855</v>
      </c>
      <c r="BH23">
        <v>0.80789</v>
      </c>
      <c r="BI23">
        <v>3416</v>
      </c>
      <c r="BJ23">
        <v>61861</v>
      </c>
      <c r="BK23">
        <v>4.7914169362131</v>
      </c>
      <c r="BL23">
        <v>6.0779e-10</v>
      </c>
      <c r="BM23">
        <v>-9.97600719539353</v>
      </c>
    </row>
    <row r="24" spans="1:65">
      <c r="A24">
        <v>22</v>
      </c>
      <c r="B24">
        <v>6</v>
      </c>
      <c r="C24" t="s">
        <v>67</v>
      </c>
      <c r="D24">
        <v>2</v>
      </c>
      <c r="E24">
        <v>4.847</v>
      </c>
      <c r="F24">
        <v>0.452989</v>
      </c>
      <c r="G24">
        <v>0.461753</v>
      </c>
      <c r="H24">
        <v>0.816615</v>
      </c>
      <c r="I24">
        <v>5.93548</v>
      </c>
      <c r="J24">
        <v>4.847</v>
      </c>
      <c r="K24">
        <v>10.7</v>
      </c>
      <c r="L24">
        <v>1.80273</v>
      </c>
      <c r="M24">
        <v>16.9153</v>
      </c>
      <c r="N24">
        <v>3.53461</v>
      </c>
      <c r="O24">
        <v>4.962</v>
      </c>
      <c r="P24">
        <v>0.464314</v>
      </c>
      <c r="Q24">
        <v>0.496807</v>
      </c>
      <c r="R24">
        <v>0.843976</v>
      </c>
      <c r="S24">
        <v>5.87932</v>
      </c>
      <c r="T24">
        <v>4.962</v>
      </c>
      <c r="U24">
        <v>10.6867</v>
      </c>
      <c r="V24">
        <v>1.81768</v>
      </c>
      <c r="W24">
        <v>16.4319</v>
      </c>
      <c r="X24">
        <v>3.44004</v>
      </c>
      <c r="Y24">
        <v>0.24276</v>
      </c>
      <c r="Z24">
        <v>-0.136889</v>
      </c>
      <c r="AA24">
        <v>0.00220534</v>
      </c>
      <c r="AB24">
        <v>0.144718</v>
      </c>
      <c r="AC24">
        <v>1.67747</v>
      </c>
      <c r="AD24">
        <v>0.24276</v>
      </c>
      <c r="AE24">
        <v>1.72988</v>
      </c>
      <c r="AF24">
        <v>1.03125</v>
      </c>
      <c r="AG24">
        <v>22.641</v>
      </c>
      <c r="AH24">
        <v>3.22542</v>
      </c>
      <c r="AI24">
        <v>0.24708</v>
      </c>
      <c r="AJ24">
        <v>-0.123601</v>
      </c>
      <c r="AK24">
        <v>0.00222933</v>
      </c>
      <c r="AL24">
        <v>0.132311</v>
      </c>
      <c r="AM24">
        <v>1.86742</v>
      </c>
      <c r="AN24">
        <v>0.24708</v>
      </c>
      <c r="AO24">
        <v>1.93765</v>
      </c>
      <c r="AP24">
        <v>1.03761</v>
      </c>
      <c r="AQ24">
        <v>20.9903</v>
      </c>
      <c r="AR24">
        <v>2.95777</v>
      </c>
      <c r="AS24">
        <f t="shared" si="0"/>
        <v>19.9662217828308</v>
      </c>
      <c r="AT24">
        <f t="shared" si="1"/>
        <v>20.082564351627</v>
      </c>
      <c r="AU24">
        <f t="shared" si="2"/>
        <v>-0.114999999999999</v>
      </c>
      <c r="AV24">
        <v>-2.17631e-6</v>
      </c>
      <c r="AW24">
        <v>-1.89288e-6</v>
      </c>
      <c r="AX24">
        <v>-6.8458e-7</v>
      </c>
      <c r="AY24">
        <v>-6.18131e-7</v>
      </c>
      <c r="AZ24">
        <v>658867</v>
      </c>
      <c r="BA24">
        <v>-220800</v>
      </c>
      <c r="BB24">
        <v>695600</v>
      </c>
      <c r="BC24">
        <v>-18.4</v>
      </c>
      <c r="BD24">
        <v>625630</v>
      </c>
      <c r="BE24">
        <f t="shared" si="3"/>
        <v>5.79631756569449</v>
      </c>
      <c r="BF24">
        <v>3.4478e-9</v>
      </c>
      <c r="BG24">
        <v>-8.46245793467319</v>
      </c>
      <c r="BH24">
        <v>0.75508</v>
      </c>
      <c r="BI24">
        <v>991.7</v>
      </c>
      <c r="BJ24">
        <v>267820</v>
      </c>
      <c r="BK24">
        <v>5.42784300570553</v>
      </c>
      <c r="BL24">
        <v>6.9779e-10</v>
      </c>
      <c r="BM24">
        <v>-9.20431459017916</v>
      </c>
    </row>
    <row r="25" spans="1:65">
      <c r="A25">
        <v>23</v>
      </c>
      <c r="B25">
        <v>6</v>
      </c>
      <c r="C25" t="s">
        <v>68</v>
      </c>
      <c r="D25">
        <v>3</v>
      </c>
      <c r="E25" s="1">
        <v>4.18</v>
      </c>
      <c r="F25">
        <v>0.308735</v>
      </c>
      <c r="G25">
        <v>0.249727</v>
      </c>
      <c r="H25">
        <v>0.587363</v>
      </c>
      <c r="I25">
        <v>7.11655</v>
      </c>
      <c r="J25">
        <v>4.18</v>
      </c>
      <c r="K25">
        <v>13.5391</v>
      </c>
      <c r="L25">
        <v>1.90248</v>
      </c>
      <c r="M25">
        <v>28.1021</v>
      </c>
      <c r="N25">
        <v>4.72398</v>
      </c>
      <c r="O25">
        <v>4.228</v>
      </c>
      <c r="P25">
        <v>0.340418</v>
      </c>
      <c r="Q25">
        <v>0.280366</v>
      </c>
      <c r="R25">
        <v>0.62944</v>
      </c>
      <c r="S25">
        <v>6.71708</v>
      </c>
      <c r="T25">
        <v>4.228</v>
      </c>
      <c r="U25">
        <v>12.42</v>
      </c>
      <c r="V25">
        <v>1.84902</v>
      </c>
      <c r="W25">
        <v>24.1513</v>
      </c>
      <c r="X25">
        <v>4.32382</v>
      </c>
      <c r="Y25">
        <v>0.41968</v>
      </c>
      <c r="Z25">
        <v>0.00852154</v>
      </c>
      <c r="AA25">
        <v>0.0023775</v>
      </c>
      <c r="AB25">
        <v>0.0494938</v>
      </c>
      <c r="AC25">
        <v>8.47945</v>
      </c>
      <c r="AD25">
        <v>0.41968</v>
      </c>
      <c r="AE25">
        <v>17.6246</v>
      </c>
      <c r="AF25">
        <v>2.07851</v>
      </c>
      <c r="AG25">
        <v>31.2945</v>
      </c>
      <c r="AH25">
        <v>4.21466</v>
      </c>
      <c r="AI25">
        <v>0.23448</v>
      </c>
      <c r="AJ25">
        <v>-0.146656</v>
      </c>
      <c r="AK25">
        <v>0.00211283</v>
      </c>
      <c r="AL25">
        <v>0.153689</v>
      </c>
      <c r="AM25">
        <v>1.52568</v>
      </c>
      <c r="AN25">
        <v>0.23448</v>
      </c>
      <c r="AO25">
        <v>1.56066</v>
      </c>
      <c r="AP25">
        <v>1.02293</v>
      </c>
      <c r="AQ25">
        <v>27.4542</v>
      </c>
      <c r="AR25">
        <v>3.79302</v>
      </c>
      <c r="AS25">
        <f t="shared" si="0"/>
        <v>9.95996950057186</v>
      </c>
      <c r="AT25">
        <f t="shared" si="1"/>
        <v>18.0313886045718</v>
      </c>
      <c r="AU25">
        <f t="shared" si="2"/>
        <v>-0.048</v>
      </c>
      <c r="AV25">
        <v>9.72599e-7</v>
      </c>
      <c r="AW25">
        <v>-1.83733e-6</v>
      </c>
      <c r="AX25">
        <v>4.26162e-8</v>
      </c>
      <c r="AY25">
        <v>-7.33427e-7</v>
      </c>
      <c r="AZ25">
        <v>525600</v>
      </c>
      <c r="BA25">
        <v>-168900</v>
      </c>
      <c r="BB25">
        <v>552167</v>
      </c>
      <c r="BC25">
        <v>-17.8333</v>
      </c>
      <c r="BD25">
        <v>554660</v>
      </c>
      <c r="BE25">
        <f t="shared" si="3"/>
        <v>5.74402684731807</v>
      </c>
      <c r="BF25">
        <v>6.8102e-9</v>
      </c>
      <c r="BG25">
        <v>-8.16684013366417</v>
      </c>
      <c r="BH25">
        <v>0.71935</v>
      </c>
      <c r="BI25">
        <v>621.5</v>
      </c>
      <c r="BJ25">
        <v>166510</v>
      </c>
      <c r="BK25">
        <v>5.22144032081174</v>
      </c>
      <c r="BL25">
        <v>5.309e-10</v>
      </c>
      <c r="BM25">
        <v>-10.11892933577</v>
      </c>
    </row>
    <row r="26" spans="1:65">
      <c r="A26">
        <v>24</v>
      </c>
      <c r="B26">
        <v>7</v>
      </c>
      <c r="C26" t="s">
        <v>65</v>
      </c>
      <c r="D26">
        <v>0</v>
      </c>
      <c r="E26">
        <v>5.581</v>
      </c>
      <c r="F26">
        <v>0.785167</v>
      </c>
      <c r="G26">
        <v>0.964358</v>
      </c>
      <c r="H26">
        <v>1.25724</v>
      </c>
      <c r="I26">
        <v>4.43909</v>
      </c>
      <c r="J26">
        <v>5.581</v>
      </c>
      <c r="K26">
        <v>7.09033</v>
      </c>
      <c r="L26">
        <v>1.59725</v>
      </c>
      <c r="M26">
        <v>7.56543</v>
      </c>
      <c r="N26">
        <v>2.08053</v>
      </c>
      <c r="O26">
        <v>5.413</v>
      </c>
      <c r="P26">
        <v>0.84409</v>
      </c>
      <c r="Q26">
        <v>0.723761</v>
      </c>
      <c r="R26">
        <v>1.19838</v>
      </c>
      <c r="S26">
        <v>4.51695</v>
      </c>
      <c r="T26">
        <v>5.413</v>
      </c>
      <c r="U26">
        <v>6.4125</v>
      </c>
      <c r="V26">
        <v>1.41965</v>
      </c>
      <c r="W26">
        <v>9.99277</v>
      </c>
      <c r="X26">
        <v>2.53597</v>
      </c>
      <c r="Y26">
        <v>0.4</v>
      </c>
      <c r="Z26">
        <v>0.0192803</v>
      </c>
      <c r="AA26">
        <v>0.00201514</v>
      </c>
      <c r="AB26">
        <v>0.0488515</v>
      </c>
      <c r="AC26">
        <v>8.18808</v>
      </c>
      <c r="AD26">
        <v>0.4</v>
      </c>
      <c r="AE26">
        <v>14.8083</v>
      </c>
      <c r="AF26">
        <v>1.80851</v>
      </c>
      <c r="AG26">
        <v>26.2095</v>
      </c>
      <c r="AH26">
        <v>3.73124</v>
      </c>
      <c r="AI26">
        <v>0.39608</v>
      </c>
      <c r="AJ26">
        <v>0.01651</v>
      </c>
      <c r="AK26">
        <v>0.0018808</v>
      </c>
      <c r="AL26">
        <v>0.0464004</v>
      </c>
      <c r="AM26">
        <v>8.53613</v>
      </c>
      <c r="AN26">
        <v>0.39608</v>
      </c>
      <c r="AO26">
        <v>16.0578</v>
      </c>
      <c r="AP26">
        <v>1.88116</v>
      </c>
      <c r="AQ26">
        <v>31.7342</v>
      </c>
      <c r="AR26">
        <v>4.23064</v>
      </c>
      <c r="AS26">
        <f t="shared" si="0"/>
        <v>13.9525</v>
      </c>
      <c r="AT26">
        <f t="shared" si="1"/>
        <v>13.6664310240355</v>
      </c>
      <c r="AU26">
        <f t="shared" si="2"/>
        <v>0.168</v>
      </c>
      <c r="AV26">
        <v>2.04261e-6</v>
      </c>
      <c r="AW26">
        <v>1.79906e-6</v>
      </c>
      <c r="AX26">
        <v>9.6421e-8</v>
      </c>
      <c r="AY26">
        <v>8.25663e-8</v>
      </c>
      <c r="AZ26">
        <v>1296670</v>
      </c>
      <c r="BA26">
        <v>-1744330</v>
      </c>
      <c r="BB26">
        <v>2174000</v>
      </c>
      <c r="BC26">
        <v>-53.5</v>
      </c>
      <c r="BD26">
        <v>1246400</v>
      </c>
      <c r="BE26">
        <f t="shared" si="3"/>
        <v>6.09565744032849</v>
      </c>
      <c r="BF26">
        <v>9.8935e-10</v>
      </c>
      <c r="BG26">
        <v>-9.0046500418926</v>
      </c>
      <c r="BH26">
        <v>0.86837</v>
      </c>
      <c r="BI26">
        <v>3900</v>
      </c>
      <c r="BJ26">
        <v>4340900</v>
      </c>
      <c r="BK26">
        <v>6.63757978124335</v>
      </c>
      <c r="BL26">
        <v>5.3121e-10</v>
      </c>
      <c r="BM26">
        <v>-10.5016480868006</v>
      </c>
    </row>
    <row r="27" spans="1:65">
      <c r="A27">
        <v>25</v>
      </c>
      <c r="B27">
        <v>7</v>
      </c>
      <c r="C27" t="s">
        <v>66</v>
      </c>
      <c r="D27">
        <v>1</v>
      </c>
      <c r="E27">
        <v>5.341</v>
      </c>
      <c r="F27">
        <v>0.738442</v>
      </c>
      <c r="G27">
        <v>0.684779</v>
      </c>
      <c r="H27">
        <v>1.10903</v>
      </c>
      <c r="I27">
        <v>4.81594</v>
      </c>
      <c r="J27">
        <v>5.341</v>
      </c>
      <c r="K27">
        <v>7.2328</v>
      </c>
      <c r="L27">
        <v>1.50185</v>
      </c>
      <c r="M27">
        <v>11.8386</v>
      </c>
      <c r="N27">
        <v>2.85035</v>
      </c>
      <c r="O27">
        <v>5.671</v>
      </c>
      <c r="P27">
        <v>0.834923</v>
      </c>
      <c r="Q27">
        <v>0.82618</v>
      </c>
      <c r="R27">
        <v>1.23414</v>
      </c>
      <c r="S27">
        <v>4.59509</v>
      </c>
      <c r="T27">
        <v>5.671</v>
      </c>
      <c r="U27">
        <v>6.79224</v>
      </c>
      <c r="V27">
        <v>1.47815</v>
      </c>
      <c r="W27">
        <v>10.1133</v>
      </c>
      <c r="X27">
        <v>2.54471</v>
      </c>
      <c r="Y27">
        <v>0.26284</v>
      </c>
      <c r="Z27">
        <v>-0.072912</v>
      </c>
      <c r="AA27">
        <v>0.00230715</v>
      </c>
      <c r="AB27">
        <v>0.0873089</v>
      </c>
      <c r="AC27">
        <v>3.01046</v>
      </c>
      <c r="AD27">
        <v>0.26284</v>
      </c>
      <c r="AE27">
        <v>3.29236</v>
      </c>
      <c r="AF27">
        <v>1.09364</v>
      </c>
      <c r="AG27">
        <v>19.267</v>
      </c>
      <c r="AH27">
        <v>2.92978</v>
      </c>
      <c r="AI27">
        <v>0.27</v>
      </c>
      <c r="AJ27">
        <v>-0.0618467</v>
      </c>
      <c r="AK27">
        <v>0.00224728</v>
      </c>
      <c r="AL27">
        <v>0.0779221</v>
      </c>
      <c r="AM27">
        <v>3.465</v>
      </c>
      <c r="AN27">
        <v>0.27</v>
      </c>
      <c r="AO27">
        <v>3.86105</v>
      </c>
      <c r="AP27">
        <v>1.1143</v>
      </c>
      <c r="AQ27">
        <v>16.2375</v>
      </c>
      <c r="AR27">
        <v>2.66941</v>
      </c>
      <c r="AS27">
        <f t="shared" si="0"/>
        <v>20.3203469791508</v>
      </c>
      <c r="AT27">
        <f t="shared" si="1"/>
        <v>21.0037037037037</v>
      </c>
      <c r="AU27">
        <f t="shared" si="2"/>
        <v>-0.33</v>
      </c>
      <c r="AV27">
        <v>-1.39199e-6</v>
      </c>
      <c r="AW27">
        <v>-1.23112e-6</v>
      </c>
      <c r="AX27">
        <v>-3.64633e-7</v>
      </c>
      <c r="AY27">
        <v>-3.09295e-7</v>
      </c>
      <c r="AZ27">
        <v>873567</v>
      </c>
      <c r="BA27">
        <v>-482000</v>
      </c>
      <c r="BB27">
        <v>998700</v>
      </c>
      <c r="BC27">
        <v>-29</v>
      </c>
      <c r="BD27">
        <v>1072400</v>
      </c>
      <c r="BE27">
        <f t="shared" si="3"/>
        <v>6.03035680531084</v>
      </c>
      <c r="BF27">
        <v>1.0848e-9</v>
      </c>
      <c r="BG27">
        <v>-8.96465032347701</v>
      </c>
      <c r="BH27">
        <v>0.84169</v>
      </c>
      <c r="BI27">
        <v>4689</v>
      </c>
      <c r="BJ27">
        <v>292370</v>
      </c>
      <c r="BK27">
        <v>5.46593280774247</v>
      </c>
      <c r="BL27">
        <v>5.8294e-9</v>
      </c>
      <c r="BM27">
        <v>-8.54881247494329</v>
      </c>
    </row>
    <row r="28" spans="1:65">
      <c r="A28">
        <v>26</v>
      </c>
      <c r="B28">
        <v>7</v>
      </c>
      <c r="C28" t="s">
        <v>67</v>
      </c>
      <c r="D28">
        <v>2</v>
      </c>
      <c r="E28">
        <v>6.16433</v>
      </c>
      <c r="F28">
        <v>0.882326</v>
      </c>
      <c r="G28">
        <v>1.03963</v>
      </c>
      <c r="H28">
        <v>1.3483</v>
      </c>
      <c r="I28">
        <v>4.57192</v>
      </c>
      <c r="J28">
        <v>6.16433</v>
      </c>
      <c r="K28">
        <v>6.98646</v>
      </c>
      <c r="L28">
        <v>1.52812</v>
      </c>
      <c r="M28">
        <v>8.98811</v>
      </c>
      <c r="N28">
        <v>2.36894</v>
      </c>
      <c r="O28">
        <v>5.972</v>
      </c>
      <c r="P28">
        <v>0.871546</v>
      </c>
      <c r="Q28">
        <v>0.818601</v>
      </c>
      <c r="R28">
        <v>1.2562</v>
      </c>
      <c r="S28">
        <v>4.75403</v>
      </c>
      <c r="T28">
        <v>5.972</v>
      </c>
      <c r="U28">
        <v>6.85198</v>
      </c>
      <c r="V28">
        <v>1.4413</v>
      </c>
      <c r="W28">
        <v>10.9581</v>
      </c>
      <c r="X28">
        <v>2.6679</v>
      </c>
      <c r="Y28">
        <v>0.35536</v>
      </c>
      <c r="Z28">
        <v>0.0207033</v>
      </c>
      <c r="AA28">
        <v>0.00191747</v>
      </c>
      <c r="AB28">
        <v>0.0484326</v>
      </c>
      <c r="AC28">
        <v>7.33721</v>
      </c>
      <c r="AD28">
        <v>0.35536</v>
      </c>
      <c r="AE28">
        <v>12.6659</v>
      </c>
      <c r="AF28">
        <v>1.72626</v>
      </c>
      <c r="AG28">
        <v>23.0403</v>
      </c>
      <c r="AH28">
        <v>3.3514</v>
      </c>
      <c r="AI28">
        <v>0.40036</v>
      </c>
      <c r="AJ28">
        <v>0.0131945</v>
      </c>
      <c r="AK28">
        <v>0.0019595</v>
      </c>
      <c r="AL28">
        <v>0.0461866</v>
      </c>
      <c r="AM28">
        <v>8.66831</v>
      </c>
      <c r="AN28">
        <v>0.40036</v>
      </c>
      <c r="AO28">
        <v>15.7866</v>
      </c>
      <c r="AP28">
        <v>1.82118</v>
      </c>
      <c r="AQ28">
        <v>25.1306</v>
      </c>
      <c r="AR28">
        <v>3.53102</v>
      </c>
      <c r="AS28">
        <f t="shared" si="0"/>
        <v>17.3467188203512</v>
      </c>
      <c r="AT28">
        <f t="shared" si="1"/>
        <v>14.9165750824258</v>
      </c>
      <c r="AU28">
        <f t="shared" si="2"/>
        <v>0.192329999999999</v>
      </c>
      <c r="AV28">
        <v>2.20471e-6</v>
      </c>
      <c r="AW28">
        <v>1.88313e-6</v>
      </c>
      <c r="AX28">
        <v>1.03537e-7</v>
      </c>
      <c r="AY28">
        <v>6.59856e-8</v>
      </c>
      <c r="AZ28">
        <v>1822330</v>
      </c>
      <c r="BA28">
        <v>-3130670</v>
      </c>
      <c r="BB28">
        <v>3625000</v>
      </c>
      <c r="BC28">
        <v>-60.0333</v>
      </c>
      <c r="BD28">
        <v>6803700</v>
      </c>
      <c r="BE28">
        <f t="shared" si="3"/>
        <v>6.83274515573169</v>
      </c>
      <c r="BF28">
        <v>4.8094e-10</v>
      </c>
      <c r="BG28">
        <v>-9.31790910095313</v>
      </c>
      <c r="BH28">
        <v>0.87528</v>
      </c>
      <c r="BI28">
        <v>3215</v>
      </c>
      <c r="BJ28">
        <v>1.2203e+18</v>
      </c>
      <c r="BK28">
        <v>18.0864666112716</v>
      </c>
      <c r="BL28">
        <v>1.1879e-9</v>
      </c>
      <c r="BM28">
        <v>-10.1756984002913</v>
      </c>
    </row>
    <row r="29" spans="1:65">
      <c r="A29">
        <v>27</v>
      </c>
      <c r="B29">
        <v>7</v>
      </c>
      <c r="C29" t="s">
        <v>68</v>
      </c>
      <c r="D29">
        <v>3</v>
      </c>
      <c r="E29">
        <v>5.503</v>
      </c>
      <c r="F29">
        <v>0.763727</v>
      </c>
      <c r="G29">
        <v>0.898249</v>
      </c>
      <c r="H29">
        <v>1.21711</v>
      </c>
      <c r="I29">
        <v>4.52138</v>
      </c>
      <c r="J29">
        <v>5.503</v>
      </c>
      <c r="K29">
        <v>7.20525</v>
      </c>
      <c r="L29">
        <v>1.5936</v>
      </c>
      <c r="M29">
        <v>8.14256</v>
      </c>
      <c r="N29">
        <v>2.18054</v>
      </c>
      <c r="O29">
        <v>5.371</v>
      </c>
      <c r="P29">
        <v>0.887908</v>
      </c>
      <c r="Q29">
        <v>0.651308</v>
      </c>
      <c r="R29">
        <v>1.19982</v>
      </c>
      <c r="S29">
        <v>4.47652</v>
      </c>
      <c r="T29">
        <v>5.371</v>
      </c>
      <c r="U29">
        <v>6.04905</v>
      </c>
      <c r="V29">
        <v>1.35128</v>
      </c>
      <c r="W29">
        <v>10.7084</v>
      </c>
      <c r="X29">
        <v>2.60041</v>
      </c>
      <c r="Y29">
        <v>0.412</v>
      </c>
      <c r="Z29">
        <v>0.0602318</v>
      </c>
      <c r="AA29">
        <v>0.00235377</v>
      </c>
      <c r="AB29">
        <v>0.077338</v>
      </c>
      <c r="AC29">
        <v>5.32726</v>
      </c>
      <c r="AD29">
        <v>0.412</v>
      </c>
      <c r="AE29">
        <v>6.8177</v>
      </c>
      <c r="AF29">
        <v>1.27978</v>
      </c>
      <c r="AG29">
        <v>15.5059</v>
      </c>
      <c r="AH29">
        <v>2.3795</v>
      </c>
      <c r="AI29">
        <v>0.41708</v>
      </c>
      <c r="AJ29">
        <v>0.0289715</v>
      </c>
      <c r="AK29">
        <v>0.00237584</v>
      </c>
      <c r="AL29">
        <v>0.0566984</v>
      </c>
      <c r="AM29">
        <v>7.35611</v>
      </c>
      <c r="AN29">
        <v>0.41708</v>
      </c>
      <c r="AO29">
        <v>12.6444</v>
      </c>
      <c r="AP29">
        <v>1.71889</v>
      </c>
      <c r="AQ29">
        <v>22.5179</v>
      </c>
      <c r="AR29">
        <v>3.51296</v>
      </c>
      <c r="AS29">
        <f t="shared" si="0"/>
        <v>13.3567961165049</v>
      </c>
      <c r="AT29">
        <f t="shared" si="1"/>
        <v>12.8776253956076</v>
      </c>
      <c r="AU29">
        <f t="shared" si="2"/>
        <v>0.132</v>
      </c>
      <c r="AV29">
        <v>3.62353e-6</v>
      </c>
      <c r="AW29">
        <v>2.65855e-6</v>
      </c>
      <c r="AX29">
        <v>3.01219e-7</v>
      </c>
      <c r="AY29">
        <v>1.44887e-7</v>
      </c>
      <c r="AZ29">
        <v>1475330</v>
      </c>
      <c r="BA29">
        <v>-1466670</v>
      </c>
      <c r="BB29">
        <v>2081670</v>
      </c>
      <c r="BC29">
        <v>-45.0333</v>
      </c>
      <c r="BD29">
        <v>1714300</v>
      </c>
      <c r="BE29">
        <f t="shared" si="3"/>
        <v>6.23408682513897</v>
      </c>
      <c r="BF29">
        <v>6.9028e-10</v>
      </c>
      <c r="BG29">
        <v>-9.16097470956906</v>
      </c>
      <c r="BH29">
        <v>0.87743</v>
      </c>
      <c r="BI29">
        <v>3943</v>
      </c>
      <c r="BJ29">
        <v>2998600</v>
      </c>
      <c r="BK29">
        <v>6.47691853665688</v>
      </c>
      <c r="BL29">
        <v>8.1324e-10</v>
      </c>
      <c r="BM29">
        <v>-9.89842475374407</v>
      </c>
    </row>
    <row r="30" spans="1:65">
      <c r="A30">
        <v>28</v>
      </c>
      <c r="B30">
        <v>8</v>
      </c>
      <c r="C30" t="s">
        <v>65</v>
      </c>
      <c r="D30">
        <v>0</v>
      </c>
      <c r="E30">
        <v>5.232</v>
      </c>
      <c r="F30">
        <v>0.389749</v>
      </c>
      <c r="G30">
        <v>0.588689</v>
      </c>
      <c r="H30">
        <v>0.860509</v>
      </c>
      <c r="I30">
        <v>6.08012</v>
      </c>
      <c r="J30">
        <v>5.232</v>
      </c>
      <c r="K30">
        <v>13.424</v>
      </c>
      <c r="L30">
        <v>2.20785</v>
      </c>
      <c r="M30">
        <v>16.4328</v>
      </c>
      <c r="N30">
        <v>3.49316</v>
      </c>
      <c r="O30">
        <v>4.962</v>
      </c>
      <c r="P30">
        <v>0.31138</v>
      </c>
      <c r="Q30">
        <v>0.401861</v>
      </c>
      <c r="R30">
        <v>0.706214</v>
      </c>
      <c r="S30">
        <v>7.0262</v>
      </c>
      <c r="T30">
        <v>4.962</v>
      </c>
      <c r="U30">
        <v>15.9348</v>
      </c>
      <c r="V30">
        <v>2.26791</v>
      </c>
      <c r="W30">
        <v>24.2923</v>
      </c>
      <c r="X30">
        <v>4.35132</v>
      </c>
      <c r="Y30">
        <v>0.38768</v>
      </c>
      <c r="Z30">
        <v>0.0192156</v>
      </c>
      <c r="AA30">
        <v>0.00193819</v>
      </c>
      <c r="AB30">
        <v>0.0480317</v>
      </c>
      <c r="AC30">
        <v>8.07134</v>
      </c>
      <c r="AD30">
        <v>0.38768</v>
      </c>
      <c r="AE30">
        <v>15.3902</v>
      </c>
      <c r="AF30">
        <v>1.90677</v>
      </c>
      <c r="AG30">
        <v>29.6463</v>
      </c>
      <c r="AH30">
        <v>4.12855</v>
      </c>
      <c r="AI30">
        <v>0.42328</v>
      </c>
      <c r="AJ30">
        <v>0.0235439</v>
      </c>
      <c r="AK30">
        <v>0.00223168</v>
      </c>
      <c r="AL30">
        <v>0.0527783</v>
      </c>
      <c r="AM30">
        <v>8.01996</v>
      </c>
      <c r="AN30">
        <v>0.42328</v>
      </c>
      <c r="AO30">
        <v>15.5661</v>
      </c>
      <c r="AP30">
        <v>1.94092</v>
      </c>
      <c r="AQ30">
        <v>31.6153</v>
      </c>
      <c r="AR30">
        <v>4.36804</v>
      </c>
      <c r="AS30">
        <f t="shared" si="0"/>
        <v>13.4956665290962</v>
      </c>
      <c r="AT30">
        <f t="shared" si="1"/>
        <v>11.7227367227367</v>
      </c>
      <c r="AU30">
        <f t="shared" si="2"/>
        <v>0.27</v>
      </c>
      <c r="AV30">
        <v>1.36812e-6</v>
      </c>
      <c r="AW30">
        <v>1.35711e-6</v>
      </c>
      <c r="AX30">
        <v>9.60972e-8</v>
      </c>
      <c r="AY30">
        <v>1.17743e-7</v>
      </c>
      <c r="AZ30">
        <v>756033</v>
      </c>
      <c r="BA30">
        <v>-232700</v>
      </c>
      <c r="BB30">
        <v>792200</v>
      </c>
      <c r="BC30">
        <v>-17.1</v>
      </c>
      <c r="BD30">
        <v>639920</v>
      </c>
      <c r="BE30">
        <f t="shared" si="3"/>
        <v>5.80612568378044</v>
      </c>
      <c r="BF30">
        <v>1.1532e-9</v>
      </c>
      <c r="BG30">
        <v>-8.93809536628383</v>
      </c>
      <c r="BH30">
        <v>0.83028</v>
      </c>
      <c r="BI30">
        <v>5404</v>
      </c>
      <c r="BJ30">
        <v>232510</v>
      </c>
      <c r="BK30">
        <v>5.36644163615683</v>
      </c>
      <c r="BL30">
        <v>1.7717e-9</v>
      </c>
      <c r="BM30">
        <v>-8.48660924953752</v>
      </c>
    </row>
    <row r="31" spans="1:65">
      <c r="A31">
        <v>29</v>
      </c>
      <c r="B31">
        <v>8</v>
      </c>
      <c r="C31" t="s">
        <v>66</v>
      </c>
      <c r="D31">
        <v>1</v>
      </c>
      <c r="E31">
        <v>4.108</v>
      </c>
      <c r="F31">
        <v>0.288559</v>
      </c>
      <c r="G31">
        <v>0.24198</v>
      </c>
      <c r="H31">
        <v>0.570262</v>
      </c>
      <c r="I31">
        <v>7.20371</v>
      </c>
      <c r="J31">
        <v>4.108</v>
      </c>
      <c r="K31">
        <v>14.2362</v>
      </c>
      <c r="L31">
        <v>1.97624</v>
      </c>
      <c r="M31">
        <v>27.0747</v>
      </c>
      <c r="N31">
        <v>4.57228</v>
      </c>
      <c r="O31">
        <v>5.28053</v>
      </c>
      <c r="P31">
        <v>0.562362</v>
      </c>
      <c r="Q31">
        <v>0.590473</v>
      </c>
      <c r="R31">
        <v>0.952158</v>
      </c>
      <c r="S31">
        <v>5.54586</v>
      </c>
      <c r="T31">
        <v>5.28053</v>
      </c>
      <c r="U31">
        <v>9.38992</v>
      </c>
      <c r="V31">
        <v>1.69314</v>
      </c>
      <c r="W31">
        <v>14.7814</v>
      </c>
      <c r="X31">
        <v>3.2434</v>
      </c>
      <c r="Y31">
        <v>0.5004</v>
      </c>
      <c r="Z31">
        <v>0.0254781</v>
      </c>
      <c r="AA31">
        <v>0.00259843</v>
      </c>
      <c r="AB31">
        <v>0.0569828</v>
      </c>
      <c r="AC31">
        <v>8.7816</v>
      </c>
      <c r="AD31">
        <v>0.5004</v>
      </c>
      <c r="AE31">
        <v>17.102</v>
      </c>
      <c r="AF31">
        <v>1.94749</v>
      </c>
      <c r="AG31">
        <v>41.3655</v>
      </c>
      <c r="AH31">
        <v>5.10096</v>
      </c>
      <c r="AI31">
        <v>0.38272</v>
      </c>
      <c r="AJ31">
        <v>0.00775614</v>
      </c>
      <c r="AK31">
        <v>0.00185265</v>
      </c>
      <c r="AL31">
        <v>0.0437314</v>
      </c>
      <c r="AM31">
        <v>8.75161</v>
      </c>
      <c r="AN31">
        <v>0.38272</v>
      </c>
      <c r="AO31">
        <v>17.445</v>
      </c>
      <c r="AP31">
        <v>1.99335</v>
      </c>
      <c r="AQ31">
        <v>31.1378</v>
      </c>
      <c r="AR31">
        <v>4.0993</v>
      </c>
      <c r="AS31">
        <f t="shared" si="0"/>
        <v>8.20943245403677</v>
      </c>
      <c r="AT31">
        <f t="shared" si="1"/>
        <v>13.7973714464883</v>
      </c>
      <c r="AU31">
        <f t="shared" si="2"/>
        <v>-1.17253</v>
      </c>
      <c r="AV31">
        <v>1.11404e-6</v>
      </c>
      <c r="AW31">
        <v>1.26829e-6</v>
      </c>
      <c r="AX31">
        <v>1.27416e-7</v>
      </c>
      <c r="AY31">
        <v>3.87884e-8</v>
      </c>
      <c r="AZ31">
        <v>1493330</v>
      </c>
      <c r="BA31">
        <v>-1290000</v>
      </c>
      <c r="BB31">
        <v>1973670</v>
      </c>
      <c r="BC31">
        <v>-40.9</v>
      </c>
      <c r="BD31">
        <v>1288200</v>
      </c>
      <c r="BE31">
        <f t="shared" si="3"/>
        <v>6.10998329481989</v>
      </c>
      <c r="BF31">
        <v>9.0314e-10</v>
      </c>
      <c r="BG31">
        <v>-9.04424492242771</v>
      </c>
      <c r="BH31">
        <v>0.8372</v>
      </c>
      <c r="BI31">
        <v>2868</v>
      </c>
      <c r="BJ31">
        <v>1907000</v>
      </c>
      <c r="BK31">
        <v>6.28035069304601</v>
      </c>
      <c r="BL31">
        <v>6.9567e-10</v>
      </c>
      <c r="BM31">
        <v>-9.69115823873868</v>
      </c>
    </row>
    <row r="32" spans="1:65">
      <c r="A32">
        <v>30</v>
      </c>
      <c r="B32">
        <v>8</v>
      </c>
      <c r="C32" t="s">
        <v>67</v>
      </c>
      <c r="D32">
        <v>2</v>
      </c>
      <c r="E32" s="1">
        <v>5.942</v>
      </c>
      <c r="F32">
        <v>0.743988</v>
      </c>
      <c r="G32">
        <v>0.817874</v>
      </c>
      <c r="H32">
        <v>1.17099</v>
      </c>
      <c r="I32">
        <v>5.07432</v>
      </c>
      <c r="J32">
        <v>5.942</v>
      </c>
      <c r="K32">
        <v>7.98669</v>
      </c>
      <c r="L32">
        <v>1.57394</v>
      </c>
      <c r="M32">
        <v>12.1625</v>
      </c>
      <c r="N32">
        <v>2.89488</v>
      </c>
      <c r="O32">
        <v>6.20073</v>
      </c>
      <c r="P32">
        <v>0.824447</v>
      </c>
      <c r="Q32">
        <v>0.905</v>
      </c>
      <c r="R32">
        <v>1.25878</v>
      </c>
      <c r="S32">
        <v>4.92598</v>
      </c>
      <c r="T32">
        <v>6.20073</v>
      </c>
      <c r="U32">
        <v>7.52108</v>
      </c>
      <c r="V32">
        <v>1.52682</v>
      </c>
      <c r="W32">
        <v>11.2013</v>
      </c>
      <c r="X32">
        <v>2.70044</v>
      </c>
      <c r="Y32">
        <v>0.35132</v>
      </c>
      <c r="Z32">
        <v>0.0245021</v>
      </c>
      <c r="AA32">
        <v>0.00204737</v>
      </c>
      <c r="AB32">
        <v>0.051452</v>
      </c>
      <c r="AC32">
        <v>6.82811</v>
      </c>
      <c r="AD32">
        <v>0.35132</v>
      </c>
      <c r="AE32">
        <v>12.1348</v>
      </c>
      <c r="AF32">
        <v>1.77719</v>
      </c>
      <c r="AG32">
        <v>20.0621</v>
      </c>
      <c r="AH32">
        <v>3.26124</v>
      </c>
      <c r="AI32">
        <v>0.35472</v>
      </c>
      <c r="AJ32">
        <v>0.0152092</v>
      </c>
      <c r="AK32">
        <v>0.00217974</v>
      </c>
      <c r="AL32">
        <v>0.0490981</v>
      </c>
      <c r="AM32">
        <v>7.22472</v>
      </c>
      <c r="AN32">
        <v>0.35472</v>
      </c>
      <c r="AO32">
        <v>12.6074</v>
      </c>
      <c r="AP32">
        <v>1.74503</v>
      </c>
      <c r="AQ32">
        <v>18.3904</v>
      </c>
      <c r="AR32">
        <v>2.89158</v>
      </c>
      <c r="AS32">
        <f t="shared" si="0"/>
        <v>16.9133553455539</v>
      </c>
      <c r="AT32">
        <f t="shared" si="1"/>
        <v>17.4806326116374</v>
      </c>
      <c r="AU32">
        <f t="shared" si="2"/>
        <v>-0.25873</v>
      </c>
      <c r="AV32">
        <v>2.37482e-6</v>
      </c>
      <c r="AW32">
        <v>2.20627e-6</v>
      </c>
      <c r="AX32">
        <v>1.22535e-7</v>
      </c>
      <c r="AY32">
        <v>7.60611e-8</v>
      </c>
      <c r="AZ32">
        <v>1341330</v>
      </c>
      <c r="BA32">
        <v>-970433</v>
      </c>
      <c r="BB32">
        <v>1656330</v>
      </c>
      <c r="BC32">
        <v>-36</v>
      </c>
      <c r="BD32">
        <v>2307600</v>
      </c>
      <c r="BE32">
        <f t="shared" si="3"/>
        <v>6.3631605302861</v>
      </c>
      <c r="BF32">
        <v>1.013e-9</v>
      </c>
      <c r="BG32">
        <v>-8.99439055463972</v>
      </c>
      <c r="BH32">
        <v>0.81642</v>
      </c>
      <c r="BI32">
        <v>5280</v>
      </c>
      <c r="BJ32">
        <v>4588100</v>
      </c>
      <c r="BK32">
        <v>6.66163287500406</v>
      </c>
      <c r="BL32">
        <v>5.659e-8</v>
      </c>
      <c r="BM32">
        <v>-8.00569164771298</v>
      </c>
    </row>
    <row r="33" spans="1:65">
      <c r="A33">
        <v>31</v>
      </c>
      <c r="B33">
        <v>8</v>
      </c>
      <c r="C33" t="s">
        <v>68</v>
      </c>
      <c r="D33">
        <v>3</v>
      </c>
      <c r="E33">
        <v>5.088</v>
      </c>
      <c r="F33">
        <v>0.437319</v>
      </c>
      <c r="G33">
        <v>0.583419</v>
      </c>
      <c r="H33">
        <v>0.880085</v>
      </c>
      <c r="I33">
        <v>5.78126</v>
      </c>
      <c r="J33">
        <v>5.088</v>
      </c>
      <c r="K33">
        <v>11.6345</v>
      </c>
      <c r="L33">
        <v>2.01246</v>
      </c>
      <c r="M33">
        <v>14.5175</v>
      </c>
      <c r="N33">
        <v>3.23526</v>
      </c>
      <c r="O33">
        <v>5.232</v>
      </c>
      <c r="P33">
        <v>0.557305</v>
      </c>
      <c r="Q33">
        <v>0.621553</v>
      </c>
      <c r="R33">
        <v>0.96541</v>
      </c>
      <c r="S33">
        <v>5.41946</v>
      </c>
      <c r="T33">
        <v>5.232</v>
      </c>
      <c r="U33">
        <v>9.38804</v>
      </c>
      <c r="V33">
        <v>1.73228</v>
      </c>
      <c r="W33">
        <v>13.0068</v>
      </c>
      <c r="X33">
        <v>2.97703</v>
      </c>
      <c r="Y33">
        <v>0.4472</v>
      </c>
      <c r="Z33">
        <v>0.023257</v>
      </c>
      <c r="AA33">
        <v>0.00222988</v>
      </c>
      <c r="AB33">
        <v>0.0526338</v>
      </c>
      <c r="AC33">
        <v>8.49644</v>
      </c>
      <c r="AD33">
        <v>0.4472</v>
      </c>
      <c r="AE33">
        <v>16.0896</v>
      </c>
      <c r="AF33">
        <v>1.89369</v>
      </c>
      <c r="AG33">
        <v>30.4431</v>
      </c>
      <c r="AH33">
        <v>4.23234</v>
      </c>
      <c r="AI33">
        <v>0.42036</v>
      </c>
      <c r="AJ33">
        <v>0.013716</v>
      </c>
      <c r="AK33">
        <v>0.00219039</v>
      </c>
      <c r="AL33">
        <v>0.0487655</v>
      </c>
      <c r="AM33">
        <v>8.62002</v>
      </c>
      <c r="AN33">
        <v>0.42036</v>
      </c>
      <c r="AO33">
        <v>17.0172</v>
      </c>
      <c r="AP33">
        <v>1.97415</v>
      </c>
      <c r="AQ33">
        <v>31.3243</v>
      </c>
      <c r="AR33">
        <v>4.25821</v>
      </c>
      <c r="AS33">
        <f t="shared" si="0"/>
        <v>11.3774597495528</v>
      </c>
      <c r="AT33">
        <f t="shared" si="1"/>
        <v>12.446474450471</v>
      </c>
      <c r="AU33">
        <f t="shared" si="2"/>
        <v>-0.144</v>
      </c>
      <c r="AV33">
        <v>1.60712e-6</v>
      </c>
      <c r="AW33">
        <v>1.52435e-6</v>
      </c>
      <c r="AX33">
        <v>1.16308e-7</v>
      </c>
      <c r="AY33">
        <v>6.85936e-8</v>
      </c>
      <c r="AZ33">
        <v>1281670</v>
      </c>
      <c r="BA33">
        <v>-996033</v>
      </c>
      <c r="BB33">
        <v>1623000</v>
      </c>
      <c r="BC33">
        <v>-37.9667</v>
      </c>
      <c r="BD33">
        <v>1136200</v>
      </c>
      <c r="BE33">
        <f t="shared" si="3"/>
        <v>6.05545478494124</v>
      </c>
      <c r="BF33">
        <v>9.1778e-10</v>
      </c>
      <c r="BG33">
        <v>-9.03726141055973</v>
      </c>
      <c r="BH33">
        <v>0.8548</v>
      </c>
      <c r="BI33">
        <v>2907</v>
      </c>
      <c r="BJ33">
        <v>1410300</v>
      </c>
      <c r="BK33">
        <v>6.14931150590791</v>
      </c>
      <c r="BL33">
        <v>9.7252e-10</v>
      </c>
      <c r="BM33">
        <v>-9.56547899873423</v>
      </c>
    </row>
    <row r="34" spans="1:65">
      <c r="A34">
        <v>32</v>
      </c>
      <c r="B34">
        <v>9</v>
      </c>
      <c r="C34" t="s">
        <v>65</v>
      </c>
      <c r="D34">
        <v>0</v>
      </c>
      <c r="E34">
        <v>5.064</v>
      </c>
      <c r="F34">
        <v>0.392781</v>
      </c>
      <c r="G34">
        <v>0.456852</v>
      </c>
      <c r="H34">
        <v>0.781689</v>
      </c>
      <c r="I34">
        <v>6.47828</v>
      </c>
      <c r="J34">
        <v>5.064</v>
      </c>
      <c r="K34">
        <v>12.8927</v>
      </c>
      <c r="L34">
        <v>1.99014</v>
      </c>
      <c r="M34">
        <v>20.3118</v>
      </c>
      <c r="N34">
        <v>3.93034</v>
      </c>
      <c r="O34">
        <v>4.711</v>
      </c>
      <c r="P34">
        <v>0.257417</v>
      </c>
      <c r="Q34">
        <v>0.372598</v>
      </c>
      <c r="R34">
        <v>0.66241</v>
      </c>
      <c r="S34">
        <v>7.11191</v>
      </c>
      <c r="T34">
        <v>4.711</v>
      </c>
      <c r="U34">
        <v>18.0635</v>
      </c>
      <c r="V34">
        <v>2.53989</v>
      </c>
      <c r="W34">
        <v>23.012</v>
      </c>
      <c r="X34">
        <v>4.16566</v>
      </c>
      <c r="Y34">
        <v>0.39812</v>
      </c>
      <c r="Z34">
        <v>0.0521227</v>
      </c>
      <c r="AA34">
        <v>0.00100894</v>
      </c>
      <c r="AB34">
        <v>0.0610369</v>
      </c>
      <c r="AC34">
        <v>6.52261</v>
      </c>
      <c r="AD34">
        <v>0.39812</v>
      </c>
      <c r="AE34">
        <v>7.63814</v>
      </c>
      <c r="AF34">
        <v>1.17102</v>
      </c>
      <c r="AG34">
        <v>66.4704</v>
      </c>
      <c r="AH34">
        <v>7.16896</v>
      </c>
      <c r="AI34">
        <v>0.5524</v>
      </c>
      <c r="AJ34">
        <v>0.0451915</v>
      </c>
      <c r="AK34">
        <v>0.00690393</v>
      </c>
      <c r="AL34">
        <v>0.0945771</v>
      </c>
      <c r="AM34">
        <v>5.84074</v>
      </c>
      <c r="AN34">
        <v>0.5524</v>
      </c>
      <c r="AO34">
        <v>9.6232</v>
      </c>
      <c r="AP34">
        <v>1.6476</v>
      </c>
      <c r="AQ34">
        <v>7.94833</v>
      </c>
      <c r="AR34">
        <v>1.50025</v>
      </c>
      <c r="AS34">
        <f t="shared" si="0"/>
        <v>12.719782980006</v>
      </c>
      <c r="AT34">
        <f t="shared" si="1"/>
        <v>8.52824040550326</v>
      </c>
      <c r="AU34">
        <f t="shared" si="2"/>
        <v>0.353</v>
      </c>
      <c r="AV34">
        <v>1.65714e-6</v>
      </c>
      <c r="AW34">
        <v>1.29921e-6</v>
      </c>
      <c r="AX34">
        <v>2.60665e-7</v>
      </c>
      <c r="AY34">
        <v>2.26003e-7</v>
      </c>
      <c r="AZ34">
        <v>403467</v>
      </c>
      <c r="BA34">
        <v>-135267</v>
      </c>
      <c r="BB34">
        <v>425600</v>
      </c>
      <c r="BC34">
        <v>-18.5667</v>
      </c>
      <c r="BD34">
        <v>294730</v>
      </c>
      <c r="BE34">
        <f t="shared" si="3"/>
        <v>5.46942434410016</v>
      </c>
      <c r="BF34">
        <v>1.5338e-9</v>
      </c>
      <c r="BG34">
        <v>-8.81423126656639</v>
      </c>
      <c r="BH34">
        <v>0.81562</v>
      </c>
      <c r="BI34">
        <v>2705</v>
      </c>
      <c r="BJ34">
        <v>192750</v>
      </c>
      <c r="BK34">
        <v>5.28499438672299</v>
      </c>
      <c r="BL34">
        <v>2.9891e-9</v>
      </c>
      <c r="BM34">
        <v>-9.48940137650008</v>
      </c>
    </row>
    <row r="35" spans="1:65">
      <c r="A35">
        <v>33</v>
      </c>
      <c r="B35">
        <v>9</v>
      </c>
      <c r="C35" t="s">
        <v>66</v>
      </c>
      <c r="D35">
        <v>1</v>
      </c>
      <c r="E35">
        <v>3.338</v>
      </c>
      <c r="F35">
        <v>0.208796</v>
      </c>
      <c r="G35">
        <v>0.161237</v>
      </c>
      <c r="H35">
        <v>0.452549</v>
      </c>
      <c r="I35">
        <v>7.37599</v>
      </c>
      <c r="J35">
        <v>3.338</v>
      </c>
      <c r="K35">
        <v>15.9869</v>
      </c>
      <c r="L35">
        <v>2.16742</v>
      </c>
      <c r="M35">
        <v>28.4266</v>
      </c>
      <c r="N35">
        <v>4.73293</v>
      </c>
      <c r="O35">
        <v>3.266</v>
      </c>
      <c r="P35">
        <v>0.192213</v>
      </c>
      <c r="Q35">
        <v>0.14345</v>
      </c>
      <c r="R35">
        <v>0.424697</v>
      </c>
      <c r="S35">
        <v>7.6902</v>
      </c>
      <c r="T35">
        <v>3.266</v>
      </c>
      <c r="U35">
        <v>16.9916</v>
      </c>
      <c r="V35">
        <v>2.20951</v>
      </c>
      <c r="W35">
        <v>31.7306</v>
      </c>
      <c r="X35">
        <v>5.03727</v>
      </c>
      <c r="Y35">
        <v>0.40088</v>
      </c>
      <c r="Z35">
        <v>-0.0378709</v>
      </c>
      <c r="AA35">
        <v>0.0027274</v>
      </c>
      <c r="AB35">
        <v>0.0645063</v>
      </c>
      <c r="AC35">
        <v>6.21459</v>
      </c>
      <c r="AD35">
        <v>0.40088</v>
      </c>
      <c r="AE35">
        <v>8.35626</v>
      </c>
      <c r="AF35">
        <v>1.34462</v>
      </c>
      <c r="AG35">
        <v>31.6357</v>
      </c>
      <c r="AH35">
        <v>4.15297</v>
      </c>
      <c r="AI35">
        <v>0.40768</v>
      </c>
      <c r="AJ35">
        <v>-0.0321694</v>
      </c>
      <c r="AK35">
        <v>0.00287032</v>
      </c>
      <c r="AL35">
        <v>0.0624869</v>
      </c>
      <c r="AM35">
        <v>6.52424</v>
      </c>
      <c r="AN35">
        <v>0.40768</v>
      </c>
      <c r="AO35">
        <v>9.33683</v>
      </c>
      <c r="AP35">
        <v>1.4311</v>
      </c>
      <c r="AQ35">
        <v>33.0986</v>
      </c>
      <c r="AR35">
        <v>4.30551</v>
      </c>
      <c r="AS35">
        <f t="shared" si="0"/>
        <v>8.3266813011375</v>
      </c>
      <c r="AT35">
        <f t="shared" si="1"/>
        <v>8.0111852433281</v>
      </c>
      <c r="AU35">
        <f t="shared" si="2"/>
        <v>0.0720000000000001</v>
      </c>
      <c r="AV35">
        <v>1.88177e-7</v>
      </c>
      <c r="AW35">
        <v>3.04505e-7</v>
      </c>
      <c r="AX35">
        <v>-1.89393e-7</v>
      </c>
      <c r="AY35">
        <v>-1.60879e-7</v>
      </c>
      <c r="AZ35">
        <v>195767</v>
      </c>
      <c r="BA35">
        <v>-67290</v>
      </c>
      <c r="BB35">
        <v>207067</v>
      </c>
      <c r="BC35">
        <v>-19</v>
      </c>
      <c r="BD35">
        <v>119870</v>
      </c>
      <c r="BE35">
        <f t="shared" si="3"/>
        <v>5.07871050532828</v>
      </c>
      <c r="BF35">
        <v>1.057e-9</v>
      </c>
      <c r="BG35">
        <v>-8.97592501269257</v>
      </c>
      <c r="BH35">
        <v>0.88223</v>
      </c>
      <c r="BI35">
        <v>2919</v>
      </c>
      <c r="BJ35">
        <v>186570</v>
      </c>
      <c r="BK35">
        <v>5.27084181153319</v>
      </c>
      <c r="BL35">
        <v>1.7245e-9</v>
      </c>
      <c r="BM35">
        <v>-9.18190613085336</v>
      </c>
    </row>
    <row r="36" spans="1:65">
      <c r="A36">
        <v>34</v>
      </c>
      <c r="B36">
        <v>9</v>
      </c>
      <c r="C36" t="s">
        <v>67</v>
      </c>
      <c r="D36">
        <v>2</v>
      </c>
      <c r="E36">
        <v>5.389</v>
      </c>
      <c r="F36">
        <v>0.28143</v>
      </c>
      <c r="G36">
        <v>0.504244</v>
      </c>
      <c r="H36">
        <v>0.763771</v>
      </c>
      <c r="I36">
        <v>7.05578</v>
      </c>
      <c r="J36">
        <v>5.389</v>
      </c>
      <c r="K36">
        <v>17.6695</v>
      </c>
      <c r="L36">
        <v>2.50426</v>
      </c>
      <c r="M36">
        <v>22.2515</v>
      </c>
      <c r="N36">
        <v>4.09436</v>
      </c>
      <c r="O36">
        <v>5.515</v>
      </c>
      <c r="P36">
        <v>0.388142</v>
      </c>
      <c r="Q36">
        <v>0.482601</v>
      </c>
      <c r="R36">
        <v>0.795712</v>
      </c>
      <c r="S36">
        <v>6.9309</v>
      </c>
      <c r="T36">
        <v>5.515</v>
      </c>
      <c r="U36">
        <v>14.2087</v>
      </c>
      <c r="V36">
        <v>2.05006</v>
      </c>
      <c r="W36">
        <v>23.9728</v>
      </c>
      <c r="X36">
        <v>4.2765</v>
      </c>
      <c r="Y36">
        <v>0.54308</v>
      </c>
      <c r="Z36">
        <v>0.0340075</v>
      </c>
      <c r="AA36">
        <v>0.00306197</v>
      </c>
      <c r="AB36">
        <v>0.0649451</v>
      </c>
      <c r="AC36">
        <v>8.36214</v>
      </c>
      <c r="AD36">
        <v>0.54308</v>
      </c>
      <c r="AE36">
        <v>15.0873</v>
      </c>
      <c r="AF36">
        <v>1.80424</v>
      </c>
      <c r="AG36">
        <v>36.9724</v>
      </c>
      <c r="AH36">
        <v>4.84093</v>
      </c>
      <c r="AI36">
        <v>0.52148</v>
      </c>
      <c r="AJ36">
        <v>0.0264292</v>
      </c>
      <c r="AK36">
        <v>0.00285776</v>
      </c>
      <c r="AL36">
        <v>0.0596296</v>
      </c>
      <c r="AM36">
        <v>8.74532</v>
      </c>
      <c r="AN36">
        <v>0.52148</v>
      </c>
      <c r="AO36">
        <v>17.5329</v>
      </c>
      <c r="AP36">
        <v>2.00483</v>
      </c>
      <c r="AQ36">
        <v>37.4239</v>
      </c>
      <c r="AR36">
        <v>4.93659</v>
      </c>
      <c r="AS36">
        <f t="shared" si="0"/>
        <v>9.92303159755469</v>
      </c>
      <c r="AT36">
        <f t="shared" si="1"/>
        <v>10.5756692490604</v>
      </c>
      <c r="AU36">
        <f t="shared" si="2"/>
        <v>-0.125999999999999</v>
      </c>
      <c r="AV36">
        <v>1.75091e-6</v>
      </c>
      <c r="AW36">
        <v>1.85316e-6</v>
      </c>
      <c r="AX36">
        <v>1.70071e-7</v>
      </c>
      <c r="AY36">
        <v>1.32172e-7</v>
      </c>
      <c r="AZ36">
        <v>913167</v>
      </c>
      <c r="BA36">
        <v>-428067</v>
      </c>
      <c r="BB36">
        <v>1009200</v>
      </c>
      <c r="BC36">
        <v>-25.2333</v>
      </c>
      <c r="BD36">
        <v>839040</v>
      </c>
      <c r="BE36">
        <f t="shared" si="3"/>
        <v>5.92378266567397</v>
      </c>
      <c r="BF36">
        <v>8.4424e-10</v>
      </c>
      <c r="BG36">
        <v>-9.07353407486849</v>
      </c>
      <c r="BH36">
        <v>0.83596</v>
      </c>
      <c r="BI36">
        <v>2672</v>
      </c>
      <c r="BJ36">
        <v>537220</v>
      </c>
      <c r="BK36">
        <v>5.73015217251483</v>
      </c>
      <c r="BL36">
        <v>2.0672e-9</v>
      </c>
      <c r="BM36">
        <v>-9.52300905317207</v>
      </c>
    </row>
    <row r="37" spans="1:65">
      <c r="A37">
        <v>35</v>
      </c>
      <c r="B37">
        <v>9</v>
      </c>
      <c r="C37" t="s">
        <v>68</v>
      </c>
      <c r="D37">
        <v>3</v>
      </c>
      <c r="E37">
        <v>4.408</v>
      </c>
      <c r="F37">
        <v>0.445594</v>
      </c>
      <c r="G37">
        <v>0.31834</v>
      </c>
      <c r="H37">
        <v>0.718909</v>
      </c>
      <c r="I37">
        <v>6.13151</v>
      </c>
      <c r="J37">
        <v>4.408</v>
      </c>
      <c r="K37">
        <v>9.89241</v>
      </c>
      <c r="L37">
        <v>1.61337</v>
      </c>
      <c r="M37">
        <v>20.5569</v>
      </c>
      <c r="N37">
        <v>3.91882</v>
      </c>
      <c r="O37">
        <v>4.42</v>
      </c>
      <c r="P37">
        <v>0.414232</v>
      </c>
      <c r="Q37">
        <v>0.319086</v>
      </c>
      <c r="R37">
        <v>0.700435</v>
      </c>
      <c r="S37">
        <v>6.31036</v>
      </c>
      <c r="T37">
        <v>4.42</v>
      </c>
      <c r="U37">
        <v>10.6704</v>
      </c>
      <c r="V37">
        <v>1.69093</v>
      </c>
      <c r="W37">
        <v>20.8064</v>
      </c>
      <c r="X37">
        <v>3.90444</v>
      </c>
      <c r="Y37">
        <v>0.4108</v>
      </c>
      <c r="Z37">
        <v>-0.0281371</v>
      </c>
      <c r="AA37">
        <v>0.00261986</v>
      </c>
      <c r="AB37">
        <v>0.058404</v>
      </c>
      <c r="AC37">
        <v>7.03376</v>
      </c>
      <c r="AD37">
        <v>0.4108</v>
      </c>
      <c r="AE37">
        <v>10.0031</v>
      </c>
      <c r="AF37">
        <v>1.42216</v>
      </c>
      <c r="AG37">
        <v>29.5599</v>
      </c>
      <c r="AH37">
        <v>3.86624</v>
      </c>
      <c r="AI37">
        <v>0.42084</v>
      </c>
      <c r="AJ37">
        <v>-0.0372845</v>
      </c>
      <c r="AK37">
        <v>0.00254754</v>
      </c>
      <c r="AL37">
        <v>0.0627469</v>
      </c>
      <c r="AM37">
        <v>6.70695</v>
      </c>
      <c r="AN37">
        <v>0.42084</v>
      </c>
      <c r="AO37">
        <v>8.73092</v>
      </c>
      <c r="AP37">
        <v>1.30177</v>
      </c>
      <c r="AQ37">
        <v>27.5378</v>
      </c>
      <c r="AR37">
        <v>3.68831</v>
      </c>
      <c r="AS37">
        <f t="shared" si="0"/>
        <v>10.730282375852</v>
      </c>
      <c r="AT37">
        <f t="shared" si="1"/>
        <v>10.5028039159776</v>
      </c>
      <c r="AU37">
        <f t="shared" si="2"/>
        <v>-0.0119999999999996</v>
      </c>
      <c r="AV37">
        <v>2.5577e-7</v>
      </c>
      <c r="AW37">
        <v>1.19581e-7</v>
      </c>
      <c r="AX37">
        <v>-1.40714e-7</v>
      </c>
      <c r="AY37">
        <v>-1.8646e-7</v>
      </c>
      <c r="AZ37">
        <v>830000</v>
      </c>
      <c r="BA37">
        <v>-387233</v>
      </c>
      <c r="BB37">
        <v>915967</v>
      </c>
      <c r="BC37">
        <v>-25.0333</v>
      </c>
      <c r="BD37">
        <v>617730</v>
      </c>
      <c r="BE37">
        <f t="shared" si="3"/>
        <v>5.79079869332099</v>
      </c>
      <c r="BF37">
        <v>9.8732e-10</v>
      </c>
      <c r="BG37">
        <v>-9.00554206545567</v>
      </c>
      <c r="BH37">
        <v>0.84437</v>
      </c>
      <c r="BI37">
        <v>2201</v>
      </c>
      <c r="BJ37">
        <v>581330</v>
      </c>
      <c r="BK37">
        <v>5.76442273564909</v>
      </c>
      <c r="BL37">
        <v>1.5854e-9</v>
      </c>
      <c r="BM37">
        <v>-9.10164785767718</v>
      </c>
    </row>
    <row r="38" spans="1:65">
      <c r="A38">
        <v>36</v>
      </c>
      <c r="B38">
        <v>10</v>
      </c>
      <c r="C38" t="s">
        <v>65</v>
      </c>
      <c r="D38">
        <v>0</v>
      </c>
      <c r="E38">
        <v>6.66993</v>
      </c>
      <c r="F38">
        <v>0.859691</v>
      </c>
      <c r="G38">
        <v>1.14059</v>
      </c>
      <c r="H38">
        <v>1.37092</v>
      </c>
      <c r="I38">
        <v>4.86529</v>
      </c>
      <c r="J38">
        <v>6.66993</v>
      </c>
      <c r="K38">
        <v>7.75853</v>
      </c>
      <c r="L38">
        <v>1.59467</v>
      </c>
      <c r="M38">
        <v>10.6355</v>
      </c>
      <c r="N38">
        <v>2.64178</v>
      </c>
      <c r="O38">
        <v>6.1462</v>
      </c>
      <c r="P38">
        <v>0.59881</v>
      </c>
      <c r="Q38">
        <v>0.929491</v>
      </c>
      <c r="R38">
        <v>1.13485</v>
      </c>
      <c r="S38">
        <v>5.41588</v>
      </c>
      <c r="T38">
        <v>6.1462</v>
      </c>
      <c r="U38">
        <v>10.264</v>
      </c>
      <c r="V38">
        <v>1.89517</v>
      </c>
      <c r="W38">
        <v>12.2184</v>
      </c>
      <c r="X38">
        <v>2.88372</v>
      </c>
      <c r="Y38">
        <v>0.42572</v>
      </c>
      <c r="Z38">
        <v>0.0117075</v>
      </c>
      <c r="AA38">
        <v>0.00205996</v>
      </c>
      <c r="AB38">
        <v>0.046868</v>
      </c>
      <c r="AC38">
        <v>9.08338</v>
      </c>
      <c r="AD38">
        <v>0.42572</v>
      </c>
      <c r="AE38">
        <v>16.5081</v>
      </c>
      <c r="AF38">
        <v>1.8174</v>
      </c>
      <c r="AG38">
        <v>22.831</v>
      </c>
      <c r="AH38">
        <v>3.23137</v>
      </c>
      <c r="AI38">
        <v>0.35344</v>
      </c>
      <c r="AJ38">
        <v>-0.0146753</v>
      </c>
      <c r="AK38">
        <v>0.00244416</v>
      </c>
      <c r="AL38">
        <v>0.0515658</v>
      </c>
      <c r="AM38">
        <v>6.85415</v>
      </c>
      <c r="AN38">
        <v>0.35344</v>
      </c>
      <c r="AO38">
        <v>10.6215</v>
      </c>
      <c r="AP38">
        <v>1.54964</v>
      </c>
      <c r="AQ38">
        <v>20.2116</v>
      </c>
      <c r="AR38">
        <v>2.84889</v>
      </c>
      <c r="AS38">
        <f t="shared" si="0"/>
        <v>15.667410504557</v>
      </c>
      <c r="AT38">
        <f t="shared" si="1"/>
        <v>17.3896559529199</v>
      </c>
      <c r="AU38">
        <f t="shared" si="2"/>
        <v>0.52373</v>
      </c>
      <c r="AV38">
        <v>2.21015e-6</v>
      </c>
      <c r="AW38">
        <v>1.12663e-6</v>
      </c>
      <c r="AX38">
        <v>5.85491e-8</v>
      </c>
      <c r="AY38">
        <v>-7.33912e-8</v>
      </c>
      <c r="AZ38">
        <v>1621000</v>
      </c>
      <c r="BA38">
        <v>-1062000</v>
      </c>
      <c r="BB38">
        <v>1939000</v>
      </c>
      <c r="BC38">
        <v>-33.3333</v>
      </c>
      <c r="BD38">
        <v>1577200</v>
      </c>
      <c r="BE38">
        <f t="shared" si="3"/>
        <v>6.19788676840119</v>
      </c>
      <c r="BF38">
        <v>1.0161e-9</v>
      </c>
      <c r="BG38">
        <v>-8.99306354863571</v>
      </c>
      <c r="BH38">
        <v>0.81981</v>
      </c>
      <c r="BI38">
        <v>4892</v>
      </c>
      <c r="BJ38">
        <v>1061200</v>
      </c>
      <c r="BK38">
        <v>6.02579724131029</v>
      </c>
      <c r="BL38">
        <v>7.9377e-10</v>
      </c>
      <c r="BM38">
        <v>-8.95291992718374</v>
      </c>
    </row>
    <row r="39" spans="1:65">
      <c r="A39">
        <v>37</v>
      </c>
      <c r="B39">
        <v>10</v>
      </c>
      <c r="C39" t="s">
        <v>66</v>
      </c>
      <c r="D39">
        <v>1</v>
      </c>
      <c r="E39">
        <v>6.405</v>
      </c>
      <c r="F39">
        <v>0.684789</v>
      </c>
      <c r="G39">
        <v>1.17676</v>
      </c>
      <c r="H39">
        <v>1.28276</v>
      </c>
      <c r="I39">
        <v>4.99316</v>
      </c>
      <c r="J39">
        <v>6.405</v>
      </c>
      <c r="K39">
        <v>9.19473</v>
      </c>
      <c r="L39">
        <v>1.84146</v>
      </c>
      <c r="M39">
        <v>9.78092</v>
      </c>
      <c r="N39">
        <v>2.49183</v>
      </c>
      <c r="O39">
        <v>5.671</v>
      </c>
      <c r="P39">
        <v>0.413523</v>
      </c>
      <c r="Q39">
        <v>0.682906</v>
      </c>
      <c r="R39">
        <v>0.923997</v>
      </c>
      <c r="S39">
        <v>6.13746</v>
      </c>
      <c r="T39">
        <v>5.671</v>
      </c>
      <c r="U39">
        <v>13.6976</v>
      </c>
      <c r="V39">
        <v>2.2318</v>
      </c>
      <c r="W39">
        <v>16.2624</v>
      </c>
      <c r="X39">
        <v>3.43037</v>
      </c>
      <c r="Y39">
        <v>0.33384</v>
      </c>
      <c r="Z39">
        <v>-0.00859576</v>
      </c>
      <c r="AA39">
        <v>0.00215126</v>
      </c>
      <c r="AB39">
        <v>0.0471669</v>
      </c>
      <c r="AC39">
        <v>7.07785</v>
      </c>
      <c r="AD39">
        <v>0.33384</v>
      </c>
      <c r="AE39">
        <v>10.9241</v>
      </c>
      <c r="AF39">
        <v>1.54342</v>
      </c>
      <c r="AG39">
        <v>16.0118</v>
      </c>
      <c r="AH39">
        <v>2.32309</v>
      </c>
      <c r="AI39">
        <v>0.38128</v>
      </c>
      <c r="AJ39">
        <v>0.00101396</v>
      </c>
      <c r="AK39">
        <v>0.00206062</v>
      </c>
      <c r="AL39">
        <v>0.0454009</v>
      </c>
      <c r="AM39">
        <v>8.39808</v>
      </c>
      <c r="AN39">
        <v>0.38128</v>
      </c>
      <c r="AO39">
        <v>16.4359</v>
      </c>
      <c r="AP39">
        <v>1.9571</v>
      </c>
      <c r="AQ39">
        <v>23.734</v>
      </c>
      <c r="AR39">
        <v>3.44875</v>
      </c>
      <c r="AS39">
        <f t="shared" si="0"/>
        <v>19.185837526959</v>
      </c>
      <c r="AT39">
        <f t="shared" si="1"/>
        <v>14.8735837180025</v>
      </c>
      <c r="AU39">
        <f t="shared" si="2"/>
        <v>0.734</v>
      </c>
      <c r="AV39">
        <v>1.35676e-6</v>
      </c>
      <c r="AW39">
        <v>1.30986e-6</v>
      </c>
      <c r="AX39">
        <v>-4.29874e-8</v>
      </c>
      <c r="AY39">
        <v>5.0708e-9</v>
      </c>
      <c r="AZ39">
        <v>1166000</v>
      </c>
      <c r="BA39">
        <v>-663867</v>
      </c>
      <c r="BB39">
        <v>1342670</v>
      </c>
      <c r="BC39">
        <v>-29.7333</v>
      </c>
      <c r="BD39">
        <v>917330</v>
      </c>
      <c r="BE39">
        <f t="shared" si="3"/>
        <v>5.962525596736</v>
      </c>
      <c r="BF39">
        <v>7.6585e-10</v>
      </c>
      <c r="BG39">
        <v>-9.11585628330664</v>
      </c>
      <c r="BH39">
        <v>0.85307</v>
      </c>
      <c r="BI39">
        <v>4045</v>
      </c>
      <c r="BJ39">
        <v>890170</v>
      </c>
      <c r="BK39">
        <v>5.949472953849</v>
      </c>
      <c r="BL39">
        <v>9.8298e-10</v>
      </c>
      <c r="BM39">
        <v>-9.96309177707978</v>
      </c>
    </row>
    <row r="40" spans="1:65">
      <c r="A40">
        <v>38</v>
      </c>
      <c r="B40">
        <v>10</v>
      </c>
      <c r="C40" t="s">
        <v>67</v>
      </c>
      <c r="D40">
        <v>2</v>
      </c>
      <c r="E40" s="1">
        <v>9.749</v>
      </c>
      <c r="F40">
        <v>1.56389</v>
      </c>
      <c r="G40">
        <v>3.04006</v>
      </c>
      <c r="H40">
        <v>2.34205</v>
      </c>
      <c r="I40">
        <v>4.16259</v>
      </c>
      <c r="J40">
        <v>9.749</v>
      </c>
      <c r="K40">
        <v>6.23353</v>
      </c>
      <c r="L40">
        <v>1.49751</v>
      </c>
      <c r="M40">
        <v>8.82084</v>
      </c>
      <c r="N40">
        <v>2.44739</v>
      </c>
      <c r="O40">
        <v>8.378</v>
      </c>
      <c r="P40">
        <v>0.909329</v>
      </c>
      <c r="Q40">
        <v>1.61118</v>
      </c>
      <c r="R40">
        <v>1.56133</v>
      </c>
      <c r="S40">
        <v>5.36595</v>
      </c>
      <c r="T40">
        <v>8.378</v>
      </c>
      <c r="U40">
        <v>9.21339</v>
      </c>
      <c r="V40">
        <v>1.71701</v>
      </c>
      <c r="W40">
        <v>13.9311</v>
      </c>
      <c r="X40">
        <v>3.16096</v>
      </c>
      <c r="Y40">
        <v>0.26368</v>
      </c>
      <c r="Z40">
        <v>0.0357652</v>
      </c>
      <c r="AA40">
        <v>0.00202771</v>
      </c>
      <c r="AB40">
        <v>0.0575018</v>
      </c>
      <c r="AC40">
        <v>4.5856</v>
      </c>
      <c r="AD40">
        <v>0.26368</v>
      </c>
      <c r="AE40">
        <v>6.67289</v>
      </c>
      <c r="AF40">
        <v>1.45518</v>
      </c>
      <c r="AG40">
        <v>6.27244</v>
      </c>
      <c r="AH40">
        <v>1.54554</v>
      </c>
      <c r="AI40">
        <v>0.35076</v>
      </c>
      <c r="AJ40">
        <v>0.0102143</v>
      </c>
      <c r="AK40">
        <v>0.00236028</v>
      </c>
      <c r="AL40">
        <v>0.0496401</v>
      </c>
      <c r="AM40">
        <v>7.06606</v>
      </c>
      <c r="AN40">
        <v>0.35076</v>
      </c>
      <c r="AO40">
        <v>11.3951</v>
      </c>
      <c r="AP40">
        <v>1.61265</v>
      </c>
      <c r="AQ40">
        <v>10.9894</v>
      </c>
      <c r="AR40">
        <v>1.9757</v>
      </c>
      <c r="AS40">
        <f t="shared" si="0"/>
        <v>36.9728458737864</v>
      </c>
      <c r="AT40">
        <f t="shared" si="1"/>
        <v>23.885277682746</v>
      </c>
      <c r="AU40">
        <f t="shared" si="2"/>
        <v>1.371</v>
      </c>
      <c r="AV40">
        <v>5.87048e-6</v>
      </c>
      <c r="AW40">
        <v>2.82575e-6</v>
      </c>
      <c r="AX40">
        <v>1.78862e-7</v>
      </c>
      <c r="AY40">
        <v>5.1082e-8</v>
      </c>
      <c r="AZ40">
        <v>2564330</v>
      </c>
      <c r="BA40">
        <v>-3433000</v>
      </c>
      <c r="BB40">
        <v>4286330</v>
      </c>
      <c r="BC40">
        <v>-53.4</v>
      </c>
      <c r="BD40">
        <v>6172600</v>
      </c>
      <c r="BE40">
        <f t="shared" si="3"/>
        <v>6.79046813450456</v>
      </c>
      <c r="BF40">
        <v>1.319e-9</v>
      </c>
      <c r="BG40">
        <v>-8.87975520445363</v>
      </c>
      <c r="BH40">
        <v>0.73588</v>
      </c>
      <c r="BI40">
        <v>7832</v>
      </c>
      <c r="BJ40">
        <v>7133300</v>
      </c>
      <c r="BK40">
        <v>6.85329048921132</v>
      </c>
      <c r="BL40">
        <v>4.4246e-10</v>
      </c>
      <c r="BM40">
        <v>-9.37178482249528</v>
      </c>
    </row>
    <row r="41" spans="1:65">
      <c r="A41">
        <v>39</v>
      </c>
      <c r="B41">
        <v>10</v>
      </c>
      <c r="C41" t="s">
        <v>68</v>
      </c>
      <c r="D41">
        <v>3</v>
      </c>
      <c r="E41">
        <v>5.533</v>
      </c>
      <c r="F41">
        <v>0.334102</v>
      </c>
      <c r="G41">
        <v>0.567175</v>
      </c>
      <c r="H41">
        <v>0.823824</v>
      </c>
      <c r="I41">
        <v>6.71624</v>
      </c>
      <c r="J41">
        <v>5.533</v>
      </c>
      <c r="K41">
        <v>16.5527</v>
      </c>
      <c r="L41">
        <v>2.46458</v>
      </c>
      <c r="M41">
        <v>21.1359</v>
      </c>
      <c r="N41">
        <v>4.06645</v>
      </c>
      <c r="O41">
        <v>4.46253</v>
      </c>
      <c r="P41">
        <v>0.189457</v>
      </c>
      <c r="Q41">
        <v>0.282155</v>
      </c>
      <c r="R41">
        <v>0.563908</v>
      </c>
      <c r="S41">
        <v>7.91359</v>
      </c>
      <c r="T41">
        <v>4.46253</v>
      </c>
      <c r="U41">
        <v>23.5543</v>
      </c>
      <c r="V41">
        <v>2.97644</v>
      </c>
      <c r="W41">
        <v>31.5416</v>
      </c>
      <c r="X41">
        <v>5.07372</v>
      </c>
      <c r="Y41">
        <v>0.3444</v>
      </c>
      <c r="Z41">
        <v>0.0106518</v>
      </c>
      <c r="AA41">
        <v>0.00168322</v>
      </c>
      <c r="AB41">
        <v>0.0423832</v>
      </c>
      <c r="AC41">
        <v>8.12585</v>
      </c>
      <c r="AD41">
        <v>0.3444</v>
      </c>
      <c r="AE41">
        <v>17.1963</v>
      </c>
      <c r="AF41">
        <v>2.11625</v>
      </c>
      <c r="AG41">
        <v>29.3716</v>
      </c>
      <c r="AH41">
        <v>4.13331</v>
      </c>
      <c r="AI41">
        <v>0.42164</v>
      </c>
      <c r="AJ41">
        <v>-0.00515388</v>
      </c>
      <c r="AK41">
        <v>0.00228783</v>
      </c>
      <c r="AL41">
        <v>0.0481034</v>
      </c>
      <c r="AM41">
        <v>8.76528</v>
      </c>
      <c r="AN41">
        <v>0.42164</v>
      </c>
      <c r="AO41">
        <v>17.1674</v>
      </c>
      <c r="AP41">
        <v>1.95857</v>
      </c>
      <c r="AQ41">
        <v>31.8961</v>
      </c>
      <c r="AR41">
        <v>4.13741</v>
      </c>
      <c r="AS41">
        <f t="shared" si="0"/>
        <v>16.0656213704994</v>
      </c>
      <c r="AT41">
        <f t="shared" si="1"/>
        <v>10.583744426525</v>
      </c>
      <c r="AU41">
        <f t="shared" si="2"/>
        <v>1.07047</v>
      </c>
      <c r="AV41">
        <v>1.23122e-6</v>
      </c>
      <c r="AW41">
        <v>8.12595e-7</v>
      </c>
      <c r="AX41">
        <v>5.32696e-8</v>
      </c>
      <c r="AY41">
        <v>-2.57746e-8</v>
      </c>
      <c r="AZ41">
        <v>292033</v>
      </c>
      <c r="BA41">
        <v>-74250</v>
      </c>
      <c r="BB41">
        <v>301367</v>
      </c>
      <c r="BC41">
        <v>-14.2667</v>
      </c>
      <c r="BD41">
        <v>515560</v>
      </c>
      <c r="BE41">
        <f t="shared" si="3"/>
        <v>5.71227921501737</v>
      </c>
      <c r="BF41">
        <v>8.4213e-9</v>
      </c>
      <c r="BG41">
        <v>-8.07462086108387</v>
      </c>
      <c r="BH41">
        <v>0.6839</v>
      </c>
      <c r="BI41">
        <v>509.3</v>
      </c>
      <c r="BJ41">
        <v>86531</v>
      </c>
      <c r="BK41">
        <v>4.93717172269079</v>
      </c>
      <c r="BL41">
        <v>4.371e-10</v>
      </c>
      <c r="BM41">
        <v>-10.2693226780602</v>
      </c>
    </row>
    <row r="42" spans="1:65">
      <c r="A42">
        <v>40</v>
      </c>
      <c r="B42">
        <v>11</v>
      </c>
      <c r="C42" t="s">
        <v>65</v>
      </c>
      <c r="D42">
        <v>0</v>
      </c>
      <c r="E42">
        <v>6.01487</v>
      </c>
      <c r="F42">
        <v>0.753008</v>
      </c>
      <c r="G42">
        <v>0.751523</v>
      </c>
      <c r="H42">
        <v>1.14821</v>
      </c>
      <c r="I42">
        <v>5.23846</v>
      </c>
      <c r="J42">
        <v>6.01487</v>
      </c>
      <c r="K42">
        <v>7.98779</v>
      </c>
      <c r="L42">
        <v>1.52484</v>
      </c>
      <c r="M42">
        <v>13.7807</v>
      </c>
      <c r="N42">
        <v>3.04746</v>
      </c>
      <c r="O42">
        <v>8.245</v>
      </c>
      <c r="P42">
        <v>0.784191</v>
      </c>
      <c r="Q42">
        <v>1.50809</v>
      </c>
      <c r="R42">
        <v>1.45696</v>
      </c>
      <c r="S42">
        <v>5.65903</v>
      </c>
      <c r="T42">
        <v>8.245</v>
      </c>
      <c r="U42">
        <v>10.514</v>
      </c>
      <c r="V42">
        <v>1.85792</v>
      </c>
      <c r="W42">
        <v>14.6319</v>
      </c>
      <c r="X42">
        <v>3.18059</v>
      </c>
      <c r="Y42">
        <v>0.56196</v>
      </c>
      <c r="Z42">
        <v>0.00398021</v>
      </c>
      <c r="AA42">
        <v>0.00577072</v>
      </c>
      <c r="AB42">
        <v>0.0760618</v>
      </c>
      <c r="AC42">
        <v>7.3882</v>
      </c>
      <c r="AD42">
        <v>0.56196</v>
      </c>
      <c r="AE42">
        <v>12.0777</v>
      </c>
      <c r="AF42">
        <v>1.63473</v>
      </c>
      <c r="AG42">
        <v>9.53364</v>
      </c>
      <c r="AH42">
        <v>0.963462</v>
      </c>
      <c r="AI42">
        <v>0.32008</v>
      </c>
      <c r="AJ42">
        <v>-0.00712372</v>
      </c>
      <c r="AK42">
        <v>0.00597486</v>
      </c>
      <c r="AL42">
        <v>0.0776171</v>
      </c>
      <c r="AM42">
        <v>4.12383</v>
      </c>
      <c r="AN42">
        <v>0.32008</v>
      </c>
      <c r="AO42">
        <v>6.29698</v>
      </c>
      <c r="AP42">
        <v>1.52697</v>
      </c>
      <c r="AQ42">
        <v>4.9257</v>
      </c>
      <c r="AR42">
        <v>0.162525</v>
      </c>
      <c r="AS42">
        <f t="shared" si="0"/>
        <v>10.7033774645882</v>
      </c>
      <c r="AT42">
        <f t="shared" si="1"/>
        <v>25.7591852036991</v>
      </c>
      <c r="AU42">
        <f t="shared" si="2"/>
        <v>-2.23013</v>
      </c>
      <c r="AV42">
        <v>1.72124e-6</v>
      </c>
      <c r="AW42">
        <v>2.10218e-6</v>
      </c>
      <c r="AX42">
        <v>1.9905e-8</v>
      </c>
      <c r="AY42">
        <v>-3.56257e-8</v>
      </c>
      <c r="AZ42">
        <v>1991000</v>
      </c>
      <c r="BA42">
        <v>-1690000</v>
      </c>
      <c r="BB42">
        <v>2612000</v>
      </c>
      <c r="BC42">
        <v>-40.4</v>
      </c>
      <c r="BD42">
        <v>2045800</v>
      </c>
      <c r="BE42">
        <f t="shared" si="3"/>
        <v>6.31086317427254</v>
      </c>
      <c r="BF42">
        <v>1.1312e-9</v>
      </c>
      <c r="BG42">
        <v>-8.94646060354717</v>
      </c>
      <c r="BH42">
        <v>0.75355</v>
      </c>
      <c r="BI42">
        <v>6623</v>
      </c>
      <c r="BJ42">
        <v>2895200</v>
      </c>
      <c r="BK42">
        <v>6.46167857010014</v>
      </c>
      <c r="BL42">
        <v>5.351e-10</v>
      </c>
      <c r="BM42">
        <v>-10.1579402157852</v>
      </c>
    </row>
    <row r="43" spans="1:65">
      <c r="A43">
        <v>41</v>
      </c>
      <c r="B43">
        <v>11</v>
      </c>
      <c r="C43" t="s">
        <v>66</v>
      </c>
      <c r="D43">
        <v>1</v>
      </c>
      <c r="E43">
        <v>5.49633</v>
      </c>
      <c r="F43">
        <v>0.68997</v>
      </c>
      <c r="G43">
        <v>0.73656</v>
      </c>
      <c r="H43">
        <v>1.10112</v>
      </c>
      <c r="I43">
        <v>4.99157</v>
      </c>
      <c r="J43">
        <v>5.49633</v>
      </c>
      <c r="K43">
        <v>7.96605</v>
      </c>
      <c r="L43">
        <v>1.5959</v>
      </c>
      <c r="M43">
        <v>11.6</v>
      </c>
      <c r="N43">
        <v>2.80798</v>
      </c>
      <c r="O43">
        <v>5.40227</v>
      </c>
      <c r="P43">
        <v>0.519289</v>
      </c>
      <c r="Q43">
        <v>0.680047</v>
      </c>
      <c r="R43">
        <v>0.97446</v>
      </c>
      <c r="S43">
        <v>5.54386</v>
      </c>
      <c r="T43">
        <v>5.40227</v>
      </c>
      <c r="U43">
        <v>10.4032</v>
      </c>
      <c r="V43">
        <v>1.87653</v>
      </c>
      <c r="W43">
        <v>12.8611</v>
      </c>
      <c r="X43">
        <v>2.97131</v>
      </c>
      <c r="Y43">
        <v>0.43948</v>
      </c>
      <c r="Z43">
        <v>0.0300948</v>
      </c>
      <c r="AA43">
        <v>0.0054118</v>
      </c>
      <c r="AB43">
        <v>0.0794759</v>
      </c>
      <c r="AC43">
        <v>5.52973</v>
      </c>
      <c r="AD43">
        <v>0.43948</v>
      </c>
      <c r="AE43">
        <v>8.59678</v>
      </c>
      <c r="AF43">
        <v>1.55465</v>
      </c>
      <c r="AG43">
        <v>5.92815</v>
      </c>
      <c r="AH43">
        <v>0.961269</v>
      </c>
      <c r="AI43">
        <v>0.53768</v>
      </c>
      <c r="AJ43">
        <v>0.0382372</v>
      </c>
      <c r="AK43">
        <v>0.00631846</v>
      </c>
      <c r="AL43">
        <v>0.0882002</v>
      </c>
      <c r="AM43">
        <v>6.09613</v>
      </c>
      <c r="AN43">
        <v>0.53768</v>
      </c>
      <c r="AO43">
        <v>9.67187</v>
      </c>
      <c r="AP43">
        <v>1.58656</v>
      </c>
      <c r="AQ43">
        <v>7.54698</v>
      </c>
      <c r="AR43">
        <v>1.3419</v>
      </c>
      <c r="AS43">
        <f t="shared" si="0"/>
        <v>12.5064394284154</v>
      </c>
      <c r="AT43">
        <f t="shared" si="1"/>
        <v>10.0473701830085</v>
      </c>
      <c r="AU43">
        <f t="shared" si="2"/>
        <v>0.0940600000000007</v>
      </c>
      <c r="AV43">
        <v>2.22809e-6</v>
      </c>
      <c r="AW43">
        <v>2.17585e-6</v>
      </c>
      <c r="AX43">
        <v>1.50504e-7</v>
      </c>
      <c r="AY43">
        <v>1.91224e-7</v>
      </c>
      <c r="AZ43">
        <v>1260670</v>
      </c>
      <c r="BA43">
        <v>-1044000</v>
      </c>
      <c r="BB43">
        <v>1638670</v>
      </c>
      <c r="BC43">
        <v>-39.7667</v>
      </c>
      <c r="BD43">
        <v>1109800</v>
      </c>
      <c r="BE43">
        <f t="shared" si="3"/>
        <v>6.04524472047815</v>
      </c>
      <c r="BF43">
        <v>1.1079e-9</v>
      </c>
      <c r="BG43">
        <v>-8.95549943762936</v>
      </c>
      <c r="BH43">
        <v>0.84755</v>
      </c>
      <c r="BI43">
        <v>4575</v>
      </c>
      <c r="BJ43">
        <v>1605900</v>
      </c>
      <c r="BK43">
        <v>6.20571849810309</v>
      </c>
      <c r="BL43">
        <v>7.3317e-10</v>
      </c>
      <c r="BM43">
        <v>-9.76840299443509</v>
      </c>
    </row>
    <row r="44" spans="1:65">
      <c r="A44">
        <v>42</v>
      </c>
      <c r="B44">
        <v>11</v>
      </c>
      <c r="C44" t="s">
        <v>67</v>
      </c>
      <c r="D44">
        <v>2</v>
      </c>
      <c r="E44" s="1">
        <v>5.2764</v>
      </c>
      <c r="F44">
        <v>0.455282</v>
      </c>
      <c r="G44">
        <v>0.59536</v>
      </c>
      <c r="H44">
        <v>0.895836</v>
      </c>
      <c r="I44">
        <v>5.88992</v>
      </c>
      <c r="J44">
        <v>5.2764</v>
      </c>
      <c r="K44">
        <v>11.5893</v>
      </c>
      <c r="L44">
        <v>1.96765</v>
      </c>
      <c r="M44">
        <v>16.1294</v>
      </c>
      <c r="N44">
        <v>3.45939</v>
      </c>
      <c r="O44">
        <v>5.30787</v>
      </c>
      <c r="P44">
        <v>0.522245</v>
      </c>
      <c r="Q44">
        <v>0.579786</v>
      </c>
      <c r="R44">
        <v>0.92326</v>
      </c>
      <c r="S44">
        <v>5.74905</v>
      </c>
      <c r="T44">
        <v>5.30787</v>
      </c>
      <c r="U44">
        <v>10.1636</v>
      </c>
      <c r="V44">
        <v>1.76787</v>
      </c>
      <c r="W44">
        <v>15.7524</v>
      </c>
      <c r="X44">
        <v>3.38881</v>
      </c>
      <c r="Y44">
        <v>0.54952</v>
      </c>
      <c r="Z44">
        <v>-0.0161563</v>
      </c>
      <c r="AA44">
        <v>0.00738485</v>
      </c>
      <c r="AB44">
        <v>0.0874323</v>
      </c>
      <c r="AC44">
        <v>6.28509</v>
      </c>
      <c r="AD44">
        <v>0.54952</v>
      </c>
      <c r="AE44">
        <v>10.1699</v>
      </c>
      <c r="AF44">
        <v>1.6181</v>
      </c>
      <c r="AG44">
        <v>9.16876</v>
      </c>
      <c r="AH44">
        <v>0.886821</v>
      </c>
      <c r="AI44">
        <v>0.55544</v>
      </c>
      <c r="AJ44">
        <v>0.0269861</v>
      </c>
      <c r="AK44">
        <v>0.00617478</v>
      </c>
      <c r="AL44">
        <v>0.083077</v>
      </c>
      <c r="AM44">
        <v>6.68584</v>
      </c>
      <c r="AN44">
        <v>0.55544</v>
      </c>
      <c r="AO44">
        <v>11.3854</v>
      </c>
      <c r="AP44">
        <v>1.70291</v>
      </c>
      <c r="AQ44">
        <v>11.2213</v>
      </c>
      <c r="AR44">
        <v>1.78807</v>
      </c>
      <c r="AS44">
        <f t="shared" si="0"/>
        <v>9.60183432814092</v>
      </c>
      <c r="AT44">
        <f t="shared" si="1"/>
        <v>9.55615367996543</v>
      </c>
      <c r="AU44">
        <f t="shared" si="2"/>
        <v>-0.0314700000000006</v>
      </c>
      <c r="AV44">
        <v>1.17054e-6</v>
      </c>
      <c r="AW44">
        <v>1.9179e-6</v>
      </c>
      <c r="AX44">
        <v>-8.07976e-8</v>
      </c>
      <c r="AY44">
        <v>1.34958e-7</v>
      </c>
      <c r="AZ44">
        <v>1139330</v>
      </c>
      <c r="BA44">
        <v>-692167</v>
      </c>
      <c r="BB44">
        <v>1335000</v>
      </c>
      <c r="BC44">
        <v>-31.4667</v>
      </c>
      <c r="BD44">
        <v>953820</v>
      </c>
      <c r="BE44">
        <f t="shared" si="3"/>
        <v>5.97946642461764</v>
      </c>
      <c r="BF44">
        <v>7.4322e-10</v>
      </c>
      <c r="BG44">
        <v>-9.12888261202199</v>
      </c>
      <c r="BH44">
        <v>0.87573</v>
      </c>
      <c r="BI44">
        <v>4640</v>
      </c>
      <c r="BJ44">
        <v>1120400</v>
      </c>
      <c r="BK44">
        <v>6.04937310015153</v>
      </c>
      <c r="BL44">
        <v>1.0791e-9</v>
      </c>
      <c r="BM44">
        <v>-9.62240237389108</v>
      </c>
    </row>
    <row r="45" spans="1:65">
      <c r="A45">
        <v>43</v>
      </c>
      <c r="B45">
        <v>11</v>
      </c>
      <c r="C45" t="s">
        <v>68</v>
      </c>
      <c r="D45">
        <v>3</v>
      </c>
      <c r="E45">
        <v>7.067</v>
      </c>
      <c r="F45">
        <v>1.12119</v>
      </c>
      <c r="G45">
        <v>1.29974</v>
      </c>
      <c r="H45">
        <v>1.59892</v>
      </c>
      <c r="I45">
        <v>4.41987</v>
      </c>
      <c r="J45">
        <v>7.067</v>
      </c>
      <c r="K45">
        <v>6.30315</v>
      </c>
      <c r="L45">
        <v>1.42609</v>
      </c>
      <c r="M45">
        <v>9.43437</v>
      </c>
      <c r="N45">
        <v>2.39876</v>
      </c>
      <c r="O45">
        <v>7.302</v>
      </c>
      <c r="P45">
        <v>0.930062</v>
      </c>
      <c r="Q45">
        <v>1.27621</v>
      </c>
      <c r="R45">
        <v>1.46321</v>
      </c>
      <c r="S45">
        <v>4.99041</v>
      </c>
      <c r="T45">
        <v>7.302</v>
      </c>
      <c r="U45">
        <v>7.85109</v>
      </c>
      <c r="V45">
        <v>1.57324</v>
      </c>
      <c r="W45">
        <v>10.7752</v>
      </c>
      <c r="X45">
        <v>2.61432</v>
      </c>
      <c r="Y45">
        <v>0.52352</v>
      </c>
      <c r="Z45">
        <v>0.0292967</v>
      </c>
      <c r="AA45">
        <v>0.00661404</v>
      </c>
      <c r="AB45">
        <v>0.086435</v>
      </c>
      <c r="AC45">
        <v>6.0568</v>
      </c>
      <c r="AD45">
        <v>0.52352</v>
      </c>
      <c r="AE45">
        <v>9.38464</v>
      </c>
      <c r="AF45">
        <v>1.54944</v>
      </c>
      <c r="AG45">
        <v>7.03046</v>
      </c>
      <c r="AH45">
        <v>1.00411</v>
      </c>
      <c r="AI45">
        <v>0.43172</v>
      </c>
      <c r="AJ45">
        <v>0.0380225</v>
      </c>
      <c r="AK45">
        <v>0.00573667</v>
      </c>
      <c r="AL45">
        <v>0.0847421</v>
      </c>
      <c r="AM45">
        <v>5.09451</v>
      </c>
      <c r="AN45">
        <v>0.43172</v>
      </c>
      <c r="AO45">
        <v>7.92983</v>
      </c>
      <c r="AP45">
        <v>1.55654</v>
      </c>
      <c r="AQ45">
        <v>5.87645</v>
      </c>
      <c r="AR45">
        <v>0.967803</v>
      </c>
      <c r="AS45">
        <f t="shared" si="0"/>
        <v>13.4990067237164</v>
      </c>
      <c r="AT45">
        <f t="shared" si="1"/>
        <v>16.9137403872881</v>
      </c>
      <c r="AU45">
        <f t="shared" si="2"/>
        <v>-0.234999999999999</v>
      </c>
      <c r="AV45">
        <v>3.92393e-6</v>
      </c>
      <c r="AW45">
        <v>3.87966e-6</v>
      </c>
      <c r="AX45">
        <v>1.46513e-7</v>
      </c>
      <c r="AY45">
        <v>1.9015e-7</v>
      </c>
      <c r="AZ45">
        <v>2637670</v>
      </c>
      <c r="BA45">
        <v>-2672670</v>
      </c>
      <c r="BB45">
        <v>3756330</v>
      </c>
      <c r="BC45">
        <v>-45.5</v>
      </c>
      <c r="BD45">
        <v>2538200</v>
      </c>
      <c r="BE45">
        <f t="shared" si="3"/>
        <v>6.40452583977375</v>
      </c>
      <c r="BF45">
        <v>8.4904e-10</v>
      </c>
      <c r="BG45">
        <v>-9.07107184877836</v>
      </c>
      <c r="BH45">
        <v>0.77491</v>
      </c>
      <c r="BI45">
        <v>12670</v>
      </c>
      <c r="BJ45">
        <v>5368100</v>
      </c>
      <c r="BK45">
        <v>6.7298205975193</v>
      </c>
      <c r="BL45">
        <v>3.3244e-10</v>
      </c>
      <c r="BM45">
        <v>-10.2076363304045</v>
      </c>
    </row>
    <row r="46" spans="1:65">
      <c r="A46">
        <v>44</v>
      </c>
      <c r="B46">
        <v>12</v>
      </c>
      <c r="C46" t="s">
        <v>65</v>
      </c>
      <c r="D46">
        <v>0</v>
      </c>
      <c r="E46">
        <v>6.831</v>
      </c>
      <c r="F46">
        <v>0.833195</v>
      </c>
      <c r="G46">
        <v>1.10133</v>
      </c>
      <c r="H46">
        <v>1.3399</v>
      </c>
      <c r="I46">
        <v>5.09816</v>
      </c>
      <c r="J46">
        <v>6.831</v>
      </c>
      <c r="K46">
        <v>8.19856</v>
      </c>
      <c r="L46">
        <v>1.60814</v>
      </c>
      <c r="M46">
        <v>10.6186</v>
      </c>
      <c r="N46">
        <v>2.60114</v>
      </c>
      <c r="O46">
        <v>6.831</v>
      </c>
      <c r="P46">
        <v>0.890284</v>
      </c>
      <c r="Q46">
        <v>1.04136</v>
      </c>
      <c r="R46">
        <v>1.35416</v>
      </c>
      <c r="S46">
        <v>5.04445</v>
      </c>
      <c r="T46">
        <v>6.831</v>
      </c>
      <c r="U46">
        <v>7.67283</v>
      </c>
      <c r="V46">
        <v>1.52105</v>
      </c>
      <c r="W46">
        <v>11.7027</v>
      </c>
      <c r="X46">
        <v>2.71773</v>
      </c>
      <c r="Y46">
        <v>0.40936</v>
      </c>
      <c r="Z46">
        <v>0.02243</v>
      </c>
      <c r="AA46">
        <v>0.00383804</v>
      </c>
      <c r="AB46">
        <v>0.0658815</v>
      </c>
      <c r="AC46">
        <v>6.21358</v>
      </c>
      <c r="AD46">
        <v>0.40936</v>
      </c>
      <c r="AE46">
        <v>10.3654</v>
      </c>
      <c r="AF46">
        <v>1.66818</v>
      </c>
      <c r="AG46">
        <v>8.81915</v>
      </c>
      <c r="AH46">
        <v>1.05032</v>
      </c>
      <c r="AI46">
        <v>0.46716</v>
      </c>
      <c r="AJ46">
        <v>0.0515106</v>
      </c>
      <c r="AK46">
        <v>0.00534326</v>
      </c>
      <c r="AL46">
        <v>0.0894178</v>
      </c>
      <c r="AM46">
        <v>5.22446</v>
      </c>
      <c r="AN46">
        <v>0.46716</v>
      </c>
      <c r="AO46">
        <v>7.64148</v>
      </c>
      <c r="AP46">
        <v>1.46263</v>
      </c>
      <c r="AQ46">
        <v>5.46537</v>
      </c>
      <c r="AR46">
        <v>1.02198</v>
      </c>
      <c r="AS46">
        <f t="shared" si="0"/>
        <v>16.687023646668</v>
      </c>
      <c r="AT46">
        <f t="shared" si="1"/>
        <v>14.6223991780118</v>
      </c>
      <c r="AU46">
        <f t="shared" si="2"/>
        <v>0</v>
      </c>
      <c r="AV46">
        <v>2.04128e-6</v>
      </c>
      <c r="AW46">
        <v>3.25368e-6</v>
      </c>
      <c r="AX46">
        <v>1.12172e-7</v>
      </c>
      <c r="AY46">
        <v>2.57605e-7</v>
      </c>
      <c r="AZ46">
        <v>1690670</v>
      </c>
      <c r="BA46">
        <v>-1782670</v>
      </c>
      <c r="BB46">
        <v>2459000</v>
      </c>
      <c r="BC46">
        <v>-46.7667</v>
      </c>
      <c r="BD46">
        <v>4833500</v>
      </c>
      <c r="BE46">
        <f t="shared" si="3"/>
        <v>6.68426172292891</v>
      </c>
      <c r="BF46">
        <v>6.4692e-10</v>
      </c>
      <c r="BG46">
        <v>-9.18914942212374</v>
      </c>
      <c r="BH46">
        <v>0.87683</v>
      </c>
      <c r="BI46">
        <v>5305</v>
      </c>
      <c r="BJ46">
        <v>216040</v>
      </c>
      <c r="BK46">
        <v>5.33453416860916</v>
      </c>
      <c r="BL46">
        <v>6.9484e-10</v>
      </c>
      <c r="BM46">
        <v>-9.67637669031456</v>
      </c>
    </row>
    <row r="47" spans="1:65">
      <c r="A47">
        <v>45</v>
      </c>
      <c r="B47">
        <v>12</v>
      </c>
      <c r="C47" t="s">
        <v>66</v>
      </c>
      <c r="D47">
        <v>1</v>
      </c>
      <c r="E47">
        <v>5.889</v>
      </c>
      <c r="F47">
        <v>0.708695</v>
      </c>
      <c r="G47">
        <v>1.03124</v>
      </c>
      <c r="H47">
        <v>1.23826</v>
      </c>
      <c r="I47">
        <v>4.75587</v>
      </c>
      <c r="J47">
        <v>5.889</v>
      </c>
      <c r="K47">
        <v>8.25649</v>
      </c>
      <c r="L47">
        <v>1.73606</v>
      </c>
      <c r="M47">
        <v>9.16315</v>
      </c>
      <c r="N47">
        <v>2.38887</v>
      </c>
      <c r="O47">
        <v>5.54333</v>
      </c>
      <c r="P47">
        <v>0.589567</v>
      </c>
      <c r="Q47">
        <v>0.728672</v>
      </c>
      <c r="R47">
        <v>1.03736</v>
      </c>
      <c r="S47">
        <v>5.34369</v>
      </c>
      <c r="T47">
        <v>5.54333</v>
      </c>
      <c r="U47">
        <v>9.40238</v>
      </c>
      <c r="V47">
        <v>1.75953</v>
      </c>
      <c r="W47">
        <v>12.8275</v>
      </c>
      <c r="X47">
        <v>2.95898</v>
      </c>
      <c r="Y47">
        <v>0.48892</v>
      </c>
      <c r="Z47">
        <v>0.0134884</v>
      </c>
      <c r="AA47">
        <v>0.00480153</v>
      </c>
      <c r="AB47">
        <v>0.0705868</v>
      </c>
      <c r="AC47">
        <v>6.9265</v>
      </c>
      <c r="AD47">
        <v>0.48892</v>
      </c>
      <c r="AE47">
        <v>12.0379</v>
      </c>
      <c r="AF47">
        <v>1.73795</v>
      </c>
      <c r="AG47">
        <v>10.0925</v>
      </c>
      <c r="AH47">
        <v>1.30282</v>
      </c>
      <c r="AI47">
        <v>0.42168</v>
      </c>
      <c r="AJ47">
        <v>0.0254195</v>
      </c>
      <c r="AK47">
        <v>0.00492787</v>
      </c>
      <c r="AL47">
        <v>0.0746528</v>
      </c>
      <c r="AM47">
        <v>5.64855</v>
      </c>
      <c r="AN47">
        <v>0.42168</v>
      </c>
      <c r="AO47">
        <v>9.38492</v>
      </c>
      <c r="AP47">
        <v>1.66147</v>
      </c>
      <c r="AQ47">
        <v>7.37067</v>
      </c>
      <c r="AR47">
        <v>1.19446</v>
      </c>
      <c r="AS47">
        <f t="shared" si="0"/>
        <v>12.0449153235703</v>
      </c>
      <c r="AT47">
        <f t="shared" si="1"/>
        <v>13.1458214760008</v>
      </c>
      <c r="AU47">
        <f t="shared" si="2"/>
        <v>0.34567</v>
      </c>
      <c r="AV47">
        <v>1.67442e-6</v>
      </c>
      <c r="AW47">
        <v>1.78911e-6</v>
      </c>
      <c r="AX47">
        <v>6.74552e-8</v>
      </c>
      <c r="AY47">
        <v>1.27123e-7</v>
      </c>
      <c r="AZ47">
        <v>919033</v>
      </c>
      <c r="BA47">
        <v>-563100</v>
      </c>
      <c r="BB47">
        <v>1078000</v>
      </c>
      <c r="BC47">
        <v>-31.5667</v>
      </c>
      <c r="BD47">
        <v>1428600</v>
      </c>
      <c r="BE47">
        <f t="shared" si="3"/>
        <v>6.15491064578852</v>
      </c>
      <c r="BF47">
        <v>1.2127e-9</v>
      </c>
      <c r="BG47">
        <v>-8.91624662242999</v>
      </c>
      <c r="BH47">
        <v>0.84547</v>
      </c>
      <c r="BI47">
        <v>3964</v>
      </c>
      <c r="BJ47">
        <v>62997</v>
      </c>
      <c r="BK47">
        <v>4.79931986827155</v>
      </c>
      <c r="BL47">
        <v>1.5134e-9</v>
      </c>
      <c r="BM47">
        <v>-9.43350358446424</v>
      </c>
    </row>
    <row r="48" spans="1:65">
      <c r="A48">
        <v>46</v>
      </c>
      <c r="B48">
        <v>12</v>
      </c>
      <c r="C48" t="s">
        <v>67</v>
      </c>
      <c r="D48">
        <v>2</v>
      </c>
      <c r="E48">
        <v>7.94607</v>
      </c>
      <c r="F48">
        <v>1.36639</v>
      </c>
      <c r="G48">
        <v>1.73522</v>
      </c>
      <c r="H48">
        <v>1.89787</v>
      </c>
      <c r="I48">
        <v>4.18684</v>
      </c>
      <c r="J48">
        <v>7.94607</v>
      </c>
      <c r="K48">
        <v>5.81537</v>
      </c>
      <c r="L48">
        <v>1.38896</v>
      </c>
      <c r="M48">
        <v>7.33991</v>
      </c>
      <c r="N48">
        <v>1.96531</v>
      </c>
      <c r="O48">
        <v>7.49395</v>
      </c>
      <c r="P48">
        <v>1.05336</v>
      </c>
      <c r="Q48">
        <v>1.39919</v>
      </c>
      <c r="R48">
        <v>1.58382</v>
      </c>
      <c r="S48">
        <v>4.73158</v>
      </c>
      <c r="T48">
        <v>7.49395</v>
      </c>
      <c r="U48">
        <v>7.11434</v>
      </c>
      <c r="V48">
        <v>1.50359</v>
      </c>
      <c r="W48">
        <v>9.90134</v>
      </c>
      <c r="X48">
        <v>2.46012</v>
      </c>
      <c r="Y48">
        <v>0.3364</v>
      </c>
      <c r="Z48">
        <v>0.0384528</v>
      </c>
      <c r="AA48">
        <v>0.00503151</v>
      </c>
      <c r="AB48">
        <v>0.0806791</v>
      </c>
      <c r="AC48">
        <v>4.1696</v>
      </c>
      <c r="AD48">
        <v>0.3364</v>
      </c>
      <c r="AE48">
        <v>6.2018</v>
      </c>
      <c r="AF48">
        <v>1.48738</v>
      </c>
      <c r="AG48">
        <v>5.28628</v>
      </c>
      <c r="AH48">
        <v>0.738775</v>
      </c>
      <c r="AI48">
        <v>0.35288</v>
      </c>
      <c r="AJ48">
        <v>0.0392567</v>
      </c>
      <c r="AK48">
        <v>0.00469679</v>
      </c>
      <c r="AL48">
        <v>0.0789743</v>
      </c>
      <c r="AM48">
        <v>4.46829</v>
      </c>
      <c r="AN48">
        <v>0.35288</v>
      </c>
      <c r="AO48">
        <v>6.74513</v>
      </c>
      <c r="AP48">
        <v>1.50956</v>
      </c>
      <c r="AQ48">
        <v>5.4935</v>
      </c>
      <c r="AR48">
        <v>0.880929</v>
      </c>
      <c r="AS48">
        <f t="shared" si="0"/>
        <v>23.6208977407848</v>
      </c>
      <c r="AT48">
        <f t="shared" si="1"/>
        <v>21.2365393334845</v>
      </c>
      <c r="AU48">
        <f t="shared" si="2"/>
        <v>0.45212</v>
      </c>
      <c r="AV48">
        <v>4.44982e-6</v>
      </c>
      <c r="AW48">
        <v>3.46999e-6</v>
      </c>
      <c r="AX48">
        <v>1.92303e-7</v>
      </c>
      <c r="AY48">
        <v>1.96323e-7</v>
      </c>
      <c r="AZ48">
        <v>2323670</v>
      </c>
      <c r="BA48">
        <v>-3808000</v>
      </c>
      <c r="BB48">
        <v>4462670</v>
      </c>
      <c r="BC48">
        <v>-58.7667</v>
      </c>
      <c r="BD48">
        <v>25906000</v>
      </c>
      <c r="BE48">
        <f t="shared" si="3"/>
        <v>7.41340036118981</v>
      </c>
      <c r="BF48">
        <v>1.0154e-9</v>
      </c>
      <c r="BG48">
        <v>-8.99336284093141</v>
      </c>
      <c r="BH48">
        <v>0.75596</v>
      </c>
      <c r="BI48">
        <v>7164</v>
      </c>
      <c r="BJ48">
        <v>526860</v>
      </c>
      <c r="BK48">
        <v>5.7216952275371</v>
      </c>
      <c r="BL48">
        <v>9.682e-10</v>
      </c>
      <c r="BM48">
        <v>-9.41058661993624</v>
      </c>
    </row>
    <row r="49" spans="1:65">
      <c r="A49">
        <v>47</v>
      </c>
      <c r="B49">
        <v>12</v>
      </c>
      <c r="C49" t="s">
        <v>68</v>
      </c>
      <c r="D49">
        <v>3</v>
      </c>
      <c r="E49">
        <v>5.889</v>
      </c>
      <c r="F49">
        <v>0.560494</v>
      </c>
      <c r="G49">
        <v>0.85473</v>
      </c>
      <c r="H49">
        <v>1.08107</v>
      </c>
      <c r="I49">
        <v>5.44738</v>
      </c>
      <c r="J49">
        <v>5.889</v>
      </c>
      <c r="K49">
        <v>10.5006</v>
      </c>
      <c r="L49">
        <v>1.92763</v>
      </c>
      <c r="M49">
        <v>11.6843</v>
      </c>
      <c r="N49">
        <v>2.78075</v>
      </c>
      <c r="O49">
        <v>5.889</v>
      </c>
      <c r="P49">
        <v>0.568102</v>
      </c>
      <c r="Q49">
        <v>0.810528</v>
      </c>
      <c r="R49">
        <v>1.06447</v>
      </c>
      <c r="S49">
        <v>5.53231</v>
      </c>
      <c r="T49">
        <v>5.889</v>
      </c>
      <c r="U49">
        <v>10.3555</v>
      </c>
      <c r="V49">
        <v>1.87183</v>
      </c>
      <c r="W49">
        <v>12.5253</v>
      </c>
      <c r="X49">
        <v>2.87589</v>
      </c>
      <c r="Y49">
        <v>0.57068</v>
      </c>
      <c r="Z49">
        <v>0.0769857</v>
      </c>
      <c r="AA49">
        <v>0.00758852</v>
      </c>
      <c r="AB49">
        <v>0.116249</v>
      </c>
      <c r="AC49">
        <v>4.90912</v>
      </c>
      <c r="AD49">
        <v>0.57068</v>
      </c>
      <c r="AE49">
        <v>7.03967</v>
      </c>
      <c r="AF49">
        <v>1.434</v>
      </c>
      <c r="AG49">
        <v>6.8029</v>
      </c>
      <c r="AH49">
        <v>1.39431</v>
      </c>
      <c r="AI49">
        <v>0.4512</v>
      </c>
      <c r="AJ49">
        <v>0.0560244</v>
      </c>
      <c r="AK49">
        <v>0.00564997</v>
      </c>
      <c r="AL49">
        <v>0.093742</v>
      </c>
      <c r="AM49">
        <v>4.81321</v>
      </c>
      <c r="AN49">
        <v>0.4512</v>
      </c>
      <c r="AO49">
        <v>7.19813</v>
      </c>
      <c r="AP49">
        <v>1.49549</v>
      </c>
      <c r="AQ49">
        <v>4.76675</v>
      </c>
      <c r="AR49">
        <v>1.08588</v>
      </c>
      <c r="AS49">
        <f t="shared" si="0"/>
        <v>10.3192682413962</v>
      </c>
      <c r="AT49">
        <f t="shared" si="1"/>
        <v>13.0518617021277</v>
      </c>
      <c r="AU49">
        <f t="shared" si="2"/>
        <v>0</v>
      </c>
      <c r="AV49">
        <v>3.41918e-6</v>
      </c>
      <c r="AW49">
        <v>2.53932e-6</v>
      </c>
      <c r="AX49">
        <v>3.85006e-7</v>
      </c>
      <c r="AY49">
        <v>2.80178e-7</v>
      </c>
      <c r="AZ49">
        <v>2272670</v>
      </c>
      <c r="BA49">
        <v>-1811000</v>
      </c>
      <c r="BB49">
        <v>2908000</v>
      </c>
      <c r="BC49">
        <v>-38.7</v>
      </c>
      <c r="BD49">
        <v>4530900</v>
      </c>
      <c r="BE49">
        <f t="shared" si="3"/>
        <v>6.65618447711464</v>
      </c>
      <c r="BF49">
        <v>5.4847e-10</v>
      </c>
      <c r="BG49">
        <v>-9.26084712231128</v>
      </c>
      <c r="BH49">
        <v>0.85435</v>
      </c>
      <c r="BI49">
        <v>4305</v>
      </c>
      <c r="BJ49">
        <v>291890</v>
      </c>
      <c r="BK49">
        <v>5.46521921653919</v>
      </c>
      <c r="BL49">
        <v>3.5886e-10</v>
      </c>
      <c r="BM49">
        <v>-10.3794059382439</v>
      </c>
    </row>
    <row r="50" spans="1:65">
      <c r="A50">
        <v>48</v>
      </c>
      <c r="B50">
        <v>13</v>
      </c>
      <c r="C50" t="s">
        <v>65</v>
      </c>
      <c r="D50">
        <v>0</v>
      </c>
      <c r="E50">
        <v>5.052</v>
      </c>
      <c r="F50">
        <v>0.388924</v>
      </c>
      <c r="G50">
        <v>0.500281</v>
      </c>
      <c r="H50">
        <v>0.807121</v>
      </c>
      <c r="I50">
        <v>6.25929</v>
      </c>
      <c r="J50">
        <v>5.052</v>
      </c>
      <c r="K50">
        <v>12.9897</v>
      </c>
      <c r="L50">
        <v>2.07526</v>
      </c>
      <c r="M50">
        <v>18.4729</v>
      </c>
      <c r="N50">
        <v>3.7458</v>
      </c>
      <c r="O50">
        <v>5.178</v>
      </c>
      <c r="P50">
        <v>0.394313</v>
      </c>
      <c r="Q50">
        <v>0.567875</v>
      </c>
      <c r="R50">
        <v>0.850438</v>
      </c>
      <c r="S50">
        <v>6.08863</v>
      </c>
      <c r="T50">
        <v>5.178</v>
      </c>
      <c r="U50">
        <v>13.1093</v>
      </c>
      <c r="V50">
        <v>2.15307</v>
      </c>
      <c r="W50">
        <v>15.8852</v>
      </c>
      <c r="X50">
        <v>3.3885</v>
      </c>
      <c r="Y50">
        <v>0.35356</v>
      </c>
      <c r="Z50">
        <v>0.000471986</v>
      </c>
      <c r="AA50">
        <v>0.0020175</v>
      </c>
      <c r="AB50">
        <v>0.0449145</v>
      </c>
      <c r="AC50">
        <v>7.87184</v>
      </c>
      <c r="AD50">
        <v>0.35356</v>
      </c>
      <c r="AE50">
        <v>15.2495</v>
      </c>
      <c r="AF50">
        <v>1.93723</v>
      </c>
      <c r="AG50">
        <v>27.9597</v>
      </c>
      <c r="AH50">
        <v>3.83639</v>
      </c>
      <c r="AI50">
        <v>0.42196</v>
      </c>
      <c r="AJ50">
        <v>0.0134084</v>
      </c>
      <c r="AK50">
        <v>0.00190288</v>
      </c>
      <c r="AL50">
        <v>0.0456321</v>
      </c>
      <c r="AM50">
        <v>9.247</v>
      </c>
      <c r="AN50">
        <v>0.42196</v>
      </c>
      <c r="AO50">
        <v>18.9936</v>
      </c>
      <c r="AP50">
        <v>2.05402</v>
      </c>
      <c r="AQ50">
        <v>34.3285</v>
      </c>
      <c r="AR50">
        <v>4.48399</v>
      </c>
      <c r="AS50">
        <f t="shared" si="0"/>
        <v>14.2889467134291</v>
      </c>
      <c r="AT50">
        <f t="shared" si="1"/>
        <v>12.2713053369988</v>
      </c>
      <c r="AU50">
        <f t="shared" si="2"/>
        <v>-0.126</v>
      </c>
      <c r="AV50">
        <v>1.05223e-6</v>
      </c>
      <c r="AW50">
        <v>1.22921e-6</v>
      </c>
      <c r="AX50">
        <v>2.3604e-9</v>
      </c>
      <c r="AY50">
        <v>6.70552e-8</v>
      </c>
      <c r="AZ50">
        <v>808500</v>
      </c>
      <c r="BA50">
        <v>-351533</v>
      </c>
      <c r="BB50">
        <v>882067</v>
      </c>
      <c r="BC50">
        <v>-23.5667</v>
      </c>
      <c r="BD50">
        <v>1013100</v>
      </c>
      <c r="BE50">
        <f t="shared" si="3"/>
        <v>6.00565231535507</v>
      </c>
      <c r="BF50">
        <v>1.463e-9</v>
      </c>
      <c r="BG50">
        <v>-8.83475567387469</v>
      </c>
      <c r="BH50">
        <v>0.80671</v>
      </c>
      <c r="BI50">
        <v>1086</v>
      </c>
      <c r="BJ50">
        <v>292400</v>
      </c>
      <c r="BK50">
        <v>5.46597736828582</v>
      </c>
      <c r="BL50">
        <v>1.5138e-8</v>
      </c>
      <c r="BM50">
        <v>-8.08422566156463</v>
      </c>
    </row>
    <row r="51" spans="1:65">
      <c r="A51">
        <v>49</v>
      </c>
      <c r="B51">
        <v>13</v>
      </c>
      <c r="C51" t="s">
        <v>66</v>
      </c>
      <c r="D51">
        <v>1</v>
      </c>
      <c r="E51">
        <v>5.2684</v>
      </c>
      <c r="F51">
        <v>0.423684</v>
      </c>
      <c r="G51">
        <v>0.694673</v>
      </c>
      <c r="H51">
        <v>0.934902</v>
      </c>
      <c r="I51">
        <v>5.63524</v>
      </c>
      <c r="J51">
        <v>5.2684</v>
      </c>
      <c r="K51">
        <v>11.6154</v>
      </c>
      <c r="L51">
        <v>2.06121</v>
      </c>
      <c r="M51">
        <v>12.6713</v>
      </c>
      <c r="N51">
        <v>2.94372</v>
      </c>
      <c r="O51">
        <v>5.31693</v>
      </c>
      <c r="P51">
        <v>0.640718</v>
      </c>
      <c r="Q51">
        <v>0.610445</v>
      </c>
      <c r="R51">
        <v>1.01037</v>
      </c>
      <c r="S51">
        <v>5.26238</v>
      </c>
      <c r="T51">
        <v>5.31693</v>
      </c>
      <c r="U51">
        <v>8.2984</v>
      </c>
      <c r="V51">
        <v>1.57693</v>
      </c>
      <c r="W51">
        <v>13.423</v>
      </c>
      <c r="X51">
        <v>3.05454</v>
      </c>
      <c r="Y51">
        <v>0.35488</v>
      </c>
      <c r="Z51">
        <v>-0.00386415</v>
      </c>
      <c r="AA51">
        <v>0.00211211</v>
      </c>
      <c r="AB51">
        <v>0.0461153</v>
      </c>
      <c r="AC51">
        <v>7.69549</v>
      </c>
      <c r="AD51">
        <v>0.35488</v>
      </c>
      <c r="AE51">
        <v>13.8966</v>
      </c>
      <c r="AF51">
        <v>1.80581</v>
      </c>
      <c r="AG51">
        <v>25.7001</v>
      </c>
      <c r="AH51">
        <v>3.47786</v>
      </c>
      <c r="AI51">
        <v>0.40288</v>
      </c>
      <c r="AJ51">
        <v>0.00107055</v>
      </c>
      <c r="AK51">
        <v>0.00212804</v>
      </c>
      <c r="AL51">
        <v>0.0461385</v>
      </c>
      <c r="AM51">
        <v>8.73197</v>
      </c>
      <c r="AN51">
        <v>0.40288</v>
      </c>
      <c r="AO51">
        <v>16.3837</v>
      </c>
      <c r="AP51">
        <v>1.87629</v>
      </c>
      <c r="AQ51">
        <v>27.8968</v>
      </c>
      <c r="AR51">
        <v>3.71059</v>
      </c>
      <c r="AS51">
        <f t="shared" si="0"/>
        <v>14.8455816050496</v>
      </c>
      <c r="AT51">
        <f t="shared" si="1"/>
        <v>13.1973044082605</v>
      </c>
      <c r="AU51">
        <f t="shared" si="2"/>
        <v>-0.0485300000000004</v>
      </c>
      <c r="AV51">
        <v>9.95738e-7</v>
      </c>
      <c r="AW51">
        <v>1.11674e-6</v>
      </c>
      <c r="AX51">
        <v>-1.93246e-8</v>
      </c>
      <c r="AY51">
        <v>5.35384e-9</v>
      </c>
      <c r="AZ51">
        <v>1147670</v>
      </c>
      <c r="BA51">
        <v>-707667</v>
      </c>
      <c r="BB51">
        <v>1349330</v>
      </c>
      <c r="BC51">
        <v>-31.7667</v>
      </c>
      <c r="BD51">
        <v>1691900</v>
      </c>
      <c r="BE51">
        <f t="shared" si="3"/>
        <v>6.22837469042191</v>
      </c>
      <c r="BF51">
        <v>1.094e-9</v>
      </c>
      <c r="BG51">
        <v>-8.96098267800259</v>
      </c>
      <c r="BH51">
        <v>0.8462</v>
      </c>
      <c r="BI51">
        <v>3260</v>
      </c>
      <c r="BJ51">
        <v>167310</v>
      </c>
      <c r="BK51">
        <v>5.22352189921122</v>
      </c>
      <c r="BL51">
        <v>8.2883e-10</v>
      </c>
      <c r="BM51">
        <v>-9.59576513334658</v>
      </c>
    </row>
    <row r="52" spans="1:65">
      <c r="A52">
        <v>50</v>
      </c>
      <c r="B52">
        <v>13</v>
      </c>
      <c r="C52" s="1" t="s">
        <v>67</v>
      </c>
      <c r="D52">
        <v>2</v>
      </c>
      <c r="E52">
        <v>5.389</v>
      </c>
      <c r="F52">
        <v>0.605922</v>
      </c>
      <c r="G52">
        <v>0.707634</v>
      </c>
      <c r="H52">
        <v>1.03665</v>
      </c>
      <c r="I52">
        <v>5.1985</v>
      </c>
      <c r="J52">
        <v>5.389</v>
      </c>
      <c r="K52">
        <v>8.89388</v>
      </c>
      <c r="L52">
        <v>1.71086</v>
      </c>
      <c r="M52">
        <v>11.4256</v>
      </c>
      <c r="N52">
        <v>2.746</v>
      </c>
      <c r="O52">
        <v>5.13</v>
      </c>
      <c r="P52">
        <v>0.430374</v>
      </c>
      <c r="Q52">
        <v>0.643418</v>
      </c>
      <c r="R52">
        <v>0.910225</v>
      </c>
      <c r="S52">
        <v>5.63597</v>
      </c>
      <c r="T52">
        <v>5.13</v>
      </c>
      <c r="U52">
        <v>11.7614</v>
      </c>
      <c r="V52">
        <v>2.08686</v>
      </c>
      <c r="W52">
        <v>12.5294</v>
      </c>
      <c r="X52">
        <v>2.90149</v>
      </c>
      <c r="Y52">
        <v>0.40984</v>
      </c>
      <c r="Z52">
        <v>0.00236257</v>
      </c>
      <c r="AA52">
        <v>0.00206952</v>
      </c>
      <c r="AB52">
        <v>0.0455487</v>
      </c>
      <c r="AC52">
        <v>8.99784</v>
      </c>
      <c r="AD52">
        <v>0.40984</v>
      </c>
      <c r="AE52">
        <v>17.4614</v>
      </c>
      <c r="AF52">
        <v>1.94062</v>
      </c>
      <c r="AG52">
        <v>32.2891</v>
      </c>
      <c r="AH52">
        <v>4.11206</v>
      </c>
      <c r="AI52" s="2">
        <v>0.40984</v>
      </c>
      <c r="AJ52" s="2">
        <v>0.00236257</v>
      </c>
      <c r="AK52" s="2">
        <v>0.00206952</v>
      </c>
      <c r="AL52" s="2">
        <v>0.0455487</v>
      </c>
      <c r="AM52" s="2">
        <v>8.99784</v>
      </c>
      <c r="AN52" s="2">
        <v>0.40984</v>
      </c>
      <c r="AO52" s="2">
        <v>17.4614</v>
      </c>
      <c r="AP52" s="2">
        <v>1.94062</v>
      </c>
      <c r="AQ52" s="2">
        <v>32.2891</v>
      </c>
      <c r="AR52" s="2">
        <v>4.11206</v>
      </c>
      <c r="AS52">
        <f t="shared" si="0"/>
        <v>13.1490337692758</v>
      </c>
      <c r="AT52">
        <f t="shared" si="1"/>
        <v>12.5170798360336</v>
      </c>
      <c r="AU52">
        <f t="shared" si="2"/>
        <v>0.259</v>
      </c>
      <c r="AV52">
        <v>1.24635e-6</v>
      </c>
      <c r="AW52" s="2">
        <v>1.24635e-6</v>
      </c>
      <c r="AX52">
        <v>1.18152e-8</v>
      </c>
      <c r="AY52" s="2">
        <v>1.18152e-8</v>
      </c>
      <c r="AZ52">
        <v>747033</v>
      </c>
      <c r="BA52">
        <v>-414733</v>
      </c>
      <c r="BB52">
        <v>854800</v>
      </c>
      <c r="BC52">
        <v>-29.1667</v>
      </c>
      <c r="BD52">
        <v>1143600</v>
      </c>
      <c r="BE52">
        <f t="shared" si="3"/>
        <v>6.05827414668595</v>
      </c>
      <c r="BF52">
        <v>2.3397e-9</v>
      </c>
      <c r="BG52">
        <v>-8.63083982493905</v>
      </c>
      <c r="BH52">
        <v>0.82749</v>
      </c>
      <c r="BI52">
        <v>3049</v>
      </c>
      <c r="BJ52">
        <v>135290</v>
      </c>
      <c r="BK52">
        <v>5.13126569678003</v>
      </c>
      <c r="BL52">
        <v>3.4085e-10</v>
      </c>
      <c r="BM52">
        <v>-10.1884853169966</v>
      </c>
    </row>
    <row r="53" spans="1:65">
      <c r="A53">
        <v>51</v>
      </c>
      <c r="B53">
        <v>13</v>
      </c>
      <c r="C53" s="1" t="s">
        <v>68</v>
      </c>
      <c r="D53">
        <v>3</v>
      </c>
      <c r="E53">
        <v>5.359</v>
      </c>
      <c r="F53">
        <v>0.565655</v>
      </c>
      <c r="G53">
        <v>0.763187</v>
      </c>
      <c r="H53">
        <v>1.04067</v>
      </c>
      <c r="I53">
        <v>5.14955</v>
      </c>
      <c r="J53">
        <v>5.359</v>
      </c>
      <c r="K53">
        <v>9.43735</v>
      </c>
      <c r="L53">
        <v>1.83265</v>
      </c>
      <c r="M53">
        <v>10.6082</v>
      </c>
      <c r="N53">
        <v>2.6102</v>
      </c>
      <c r="O53">
        <v>5.136</v>
      </c>
      <c r="P53">
        <v>0.623139</v>
      </c>
      <c r="Q53">
        <v>0.604844</v>
      </c>
      <c r="R53">
        <v>0.996506</v>
      </c>
      <c r="S53">
        <v>5.15401</v>
      </c>
      <c r="T53">
        <v>5.136</v>
      </c>
      <c r="U53">
        <v>8.23964</v>
      </c>
      <c r="V53">
        <v>1.59869</v>
      </c>
      <c r="W53">
        <v>12.263</v>
      </c>
      <c r="X53">
        <v>2.88796</v>
      </c>
      <c r="Y53">
        <v>0.46284</v>
      </c>
      <c r="Z53">
        <v>0.0537775</v>
      </c>
      <c r="AA53">
        <v>0.00266185</v>
      </c>
      <c r="AB53">
        <v>0.0745207</v>
      </c>
      <c r="AC53">
        <v>6.21089</v>
      </c>
      <c r="AD53">
        <v>0.46284</v>
      </c>
      <c r="AE53">
        <v>8.5535</v>
      </c>
      <c r="AF53">
        <v>1.37718</v>
      </c>
      <c r="AG53">
        <v>20.0833</v>
      </c>
      <c r="AH53">
        <v>2.98912</v>
      </c>
      <c r="AI53" s="2">
        <v>0.46284</v>
      </c>
      <c r="AJ53" s="2">
        <v>0.0537775</v>
      </c>
      <c r="AK53" s="2">
        <v>0.00266185</v>
      </c>
      <c r="AL53" s="2">
        <v>0.0745207</v>
      </c>
      <c r="AM53" s="2">
        <v>6.21089</v>
      </c>
      <c r="AN53" s="2">
        <v>0.46284</v>
      </c>
      <c r="AO53" s="2">
        <v>8.5535</v>
      </c>
      <c r="AP53" s="2">
        <v>1.37718</v>
      </c>
      <c r="AQ53" s="2">
        <v>20.0833</v>
      </c>
      <c r="AR53" s="2">
        <v>2.98912</v>
      </c>
      <c r="AS53">
        <f t="shared" si="0"/>
        <v>11.5785152536514</v>
      </c>
      <c r="AT53">
        <f t="shared" si="1"/>
        <v>11.096707285455</v>
      </c>
      <c r="AU53">
        <f t="shared" si="2"/>
        <v>0.223</v>
      </c>
      <c r="AV53">
        <v>2.88011e-6</v>
      </c>
      <c r="AW53" s="2">
        <v>2.88011e-6</v>
      </c>
      <c r="AX53">
        <v>2.68941e-7</v>
      </c>
      <c r="AY53" s="2">
        <v>2.68941e-7</v>
      </c>
      <c r="AZ53">
        <v>1030230</v>
      </c>
      <c r="BA53">
        <v>-659333</v>
      </c>
      <c r="BB53">
        <v>1224000</v>
      </c>
      <c r="BC53">
        <v>-32.7667</v>
      </c>
      <c r="BD53">
        <v>1671400</v>
      </c>
      <c r="BE53">
        <f t="shared" si="3"/>
        <v>6.22308039783116</v>
      </c>
      <c r="BF53">
        <v>2.2551e-9</v>
      </c>
      <c r="BG53">
        <v>-8.64683419503424</v>
      </c>
      <c r="BH53">
        <v>0.80488</v>
      </c>
      <c r="BI53">
        <v>1822</v>
      </c>
      <c r="BJ53">
        <v>337090</v>
      </c>
      <c r="BK53">
        <v>5.52774586907619</v>
      </c>
      <c r="BL53">
        <v>4.9597e-10</v>
      </c>
      <c r="BM53">
        <v>-10.2688304224513</v>
      </c>
    </row>
    <row r="54" spans="1:65">
      <c r="A54">
        <v>52</v>
      </c>
      <c r="B54">
        <v>14</v>
      </c>
      <c r="C54" s="1" t="s">
        <v>65</v>
      </c>
      <c r="D54">
        <v>0</v>
      </c>
      <c r="E54">
        <v>4.318</v>
      </c>
      <c r="F54">
        <v>0.298043</v>
      </c>
      <c r="G54">
        <v>0.353843</v>
      </c>
      <c r="H54">
        <v>0.665283</v>
      </c>
      <c r="I54">
        <v>6.49047</v>
      </c>
      <c r="J54">
        <v>4.318</v>
      </c>
      <c r="K54">
        <v>14.4278</v>
      </c>
      <c r="L54">
        <v>2.22292</v>
      </c>
      <c r="M54">
        <v>18.8911</v>
      </c>
      <c r="N54">
        <v>3.71855</v>
      </c>
      <c r="O54">
        <v>5.13</v>
      </c>
      <c r="P54">
        <v>0.57044</v>
      </c>
      <c r="Q54">
        <v>0.70692</v>
      </c>
      <c r="R54">
        <v>1.01596</v>
      </c>
      <c r="S54">
        <v>5.0494</v>
      </c>
      <c r="T54">
        <v>5.13</v>
      </c>
      <c r="U54">
        <v>8.99305</v>
      </c>
      <c r="V54">
        <v>1.78102</v>
      </c>
      <c r="W54">
        <v>9.81788</v>
      </c>
      <c r="X54">
        <v>2.47066</v>
      </c>
      <c r="Y54">
        <v>0.40936</v>
      </c>
      <c r="Z54">
        <v>-0.000195721</v>
      </c>
      <c r="AA54">
        <v>0.00211924</v>
      </c>
      <c r="AB54">
        <v>0.046031</v>
      </c>
      <c r="AC54">
        <v>8.89314</v>
      </c>
      <c r="AD54">
        <v>0.40936</v>
      </c>
      <c r="AE54">
        <v>18.9615</v>
      </c>
      <c r="AF54">
        <v>2.13215</v>
      </c>
      <c r="AG54">
        <v>36.42</v>
      </c>
      <c r="AH54">
        <v>4.56442</v>
      </c>
      <c r="AI54" s="2">
        <v>0.40936</v>
      </c>
      <c r="AJ54" s="2">
        <v>-0.000195721</v>
      </c>
      <c r="AK54" s="2">
        <v>0.00211924</v>
      </c>
      <c r="AL54" s="2">
        <v>0.046031</v>
      </c>
      <c r="AM54" s="2">
        <v>8.89314</v>
      </c>
      <c r="AN54" s="2">
        <v>0.40936</v>
      </c>
      <c r="AO54" s="2">
        <v>18.9615</v>
      </c>
      <c r="AP54" s="2">
        <v>2.13215</v>
      </c>
      <c r="AQ54" s="2">
        <v>36.42</v>
      </c>
      <c r="AR54" s="2">
        <v>4.56442</v>
      </c>
      <c r="AS54">
        <f t="shared" si="0"/>
        <v>10.5481727574751</v>
      </c>
      <c r="AT54">
        <f t="shared" si="1"/>
        <v>12.531756888802</v>
      </c>
      <c r="AU54">
        <f t="shared" si="2"/>
        <v>-0.812</v>
      </c>
      <c r="AV54">
        <v>8.36437e-7</v>
      </c>
      <c r="AW54" s="2">
        <v>8.36437e-7</v>
      </c>
      <c r="AX54">
        <v>-9.788e-10</v>
      </c>
      <c r="AY54" s="2">
        <v>-9.788e-10</v>
      </c>
      <c r="AZ54">
        <v>798800</v>
      </c>
      <c r="BA54">
        <v>-508000</v>
      </c>
      <c r="BB54">
        <v>947567</v>
      </c>
      <c r="BC54">
        <v>-32.4667</v>
      </c>
      <c r="BD54">
        <v>1209200</v>
      </c>
      <c r="BE54">
        <f t="shared" si="3"/>
        <v>6.08249813850578</v>
      </c>
      <c r="BF54">
        <v>2.48e-9</v>
      </c>
      <c r="BG54">
        <v>-8.60554831917378</v>
      </c>
      <c r="BH54">
        <v>0.7773</v>
      </c>
      <c r="BI54">
        <v>836.9</v>
      </c>
      <c r="BJ54">
        <v>248190</v>
      </c>
      <c r="BK54">
        <v>5.39478427904704</v>
      </c>
      <c r="BL54">
        <v>8.2366e-10</v>
      </c>
      <c r="BM54">
        <v>-9.09357336728056</v>
      </c>
    </row>
    <row r="55" spans="1:65">
      <c r="A55">
        <v>53</v>
      </c>
      <c r="B55">
        <v>14</v>
      </c>
      <c r="C55" t="s">
        <v>66</v>
      </c>
      <c r="D55">
        <v>1</v>
      </c>
      <c r="E55">
        <v>5.28053</v>
      </c>
      <c r="F55">
        <v>0.539415</v>
      </c>
      <c r="G55">
        <v>0.674001</v>
      </c>
      <c r="H55">
        <v>0.98226</v>
      </c>
      <c r="I55">
        <v>5.3759</v>
      </c>
      <c r="J55">
        <v>5.28053</v>
      </c>
      <c r="K55">
        <v>9.78938</v>
      </c>
      <c r="L55">
        <v>1.82097</v>
      </c>
      <c r="M55">
        <v>12.4777</v>
      </c>
      <c r="N55">
        <v>2.93802</v>
      </c>
      <c r="O55">
        <v>5.13</v>
      </c>
      <c r="P55">
        <v>0.455989</v>
      </c>
      <c r="Q55">
        <v>0.617234</v>
      </c>
      <c r="R55">
        <v>0.908315</v>
      </c>
      <c r="S55">
        <v>5.64782</v>
      </c>
      <c r="T55">
        <v>5.13</v>
      </c>
      <c r="U55">
        <v>11.2503</v>
      </c>
      <c r="V55">
        <v>1.99197</v>
      </c>
      <c r="W55">
        <v>13.4857</v>
      </c>
      <c r="X55">
        <v>3.06495</v>
      </c>
      <c r="Y55">
        <v>0.40352</v>
      </c>
      <c r="Z55">
        <v>0.00366819</v>
      </c>
      <c r="AA55">
        <v>0.00202215</v>
      </c>
      <c r="AB55">
        <v>0.0451132</v>
      </c>
      <c r="AC55">
        <v>8.94462</v>
      </c>
      <c r="AD55">
        <v>0.40352</v>
      </c>
      <c r="AE55">
        <v>17.3071</v>
      </c>
      <c r="AF55">
        <v>1.93492</v>
      </c>
      <c r="AG55">
        <v>26.0282</v>
      </c>
      <c r="AH55">
        <v>3.56662</v>
      </c>
      <c r="AI55">
        <v>0.4246</v>
      </c>
      <c r="AJ55">
        <v>-0.00203843</v>
      </c>
      <c r="AK55">
        <v>0.00221475</v>
      </c>
      <c r="AL55">
        <v>0.0471006</v>
      </c>
      <c r="AM55">
        <v>9.01475</v>
      </c>
      <c r="AN55">
        <v>0.4246</v>
      </c>
      <c r="AO55">
        <v>17.4145</v>
      </c>
      <c r="AP55">
        <v>1.93177</v>
      </c>
      <c r="AQ55">
        <v>32.4565</v>
      </c>
      <c r="AR55">
        <v>4.13949</v>
      </c>
      <c r="AS55">
        <f t="shared" si="0"/>
        <v>13.0861667327518</v>
      </c>
      <c r="AT55">
        <f t="shared" si="1"/>
        <v>12.0819594912859</v>
      </c>
      <c r="AU55">
        <f t="shared" si="2"/>
        <v>0.15053</v>
      </c>
      <c r="AV55">
        <v>1.24595e-6</v>
      </c>
      <c r="AW55">
        <v>1.09273e-6</v>
      </c>
      <c r="AX55">
        <v>1.83446e-8</v>
      </c>
      <c r="AY55">
        <v>-1.01942e-8</v>
      </c>
      <c r="AZ55">
        <v>884367</v>
      </c>
      <c r="BA55">
        <v>-434133</v>
      </c>
      <c r="BB55">
        <v>985500</v>
      </c>
      <c r="BC55">
        <v>-26.2333</v>
      </c>
      <c r="BD55">
        <v>1121000</v>
      </c>
      <c r="BE55">
        <f t="shared" si="3"/>
        <v>6.04960561259497</v>
      </c>
      <c r="BF55">
        <v>1.0549e-9</v>
      </c>
      <c r="BG55">
        <v>-8.97678870767111</v>
      </c>
      <c r="BH55">
        <v>0.85591</v>
      </c>
      <c r="BI55">
        <v>2701</v>
      </c>
      <c r="BJ55">
        <v>76048</v>
      </c>
      <c r="BK55">
        <v>4.88108779695068</v>
      </c>
      <c r="BL55">
        <v>8.8962e-10</v>
      </c>
      <c r="BM55">
        <v>-9.89353711620388</v>
      </c>
    </row>
    <row r="56" spans="1:65">
      <c r="A56">
        <v>54</v>
      </c>
      <c r="B56">
        <v>14</v>
      </c>
      <c r="C56" t="s">
        <v>67</v>
      </c>
      <c r="D56">
        <v>2</v>
      </c>
      <c r="E56">
        <v>4.348</v>
      </c>
      <c r="F56">
        <v>0.270501</v>
      </c>
      <c r="G56">
        <v>0.315057</v>
      </c>
      <c r="H56">
        <v>0.623028</v>
      </c>
      <c r="I56">
        <v>6.97882</v>
      </c>
      <c r="J56">
        <v>4.348</v>
      </c>
      <c r="K56">
        <v>16.0718</v>
      </c>
      <c r="L56">
        <v>2.30294</v>
      </c>
      <c r="M56">
        <v>23.5116</v>
      </c>
      <c r="N56">
        <v>4.2646</v>
      </c>
      <c r="O56">
        <v>3.867</v>
      </c>
      <c r="P56">
        <v>0.230282</v>
      </c>
      <c r="Q56">
        <v>0.204191</v>
      </c>
      <c r="R56">
        <v>0.507129</v>
      </c>
      <c r="S56">
        <v>7.62527</v>
      </c>
      <c r="T56">
        <v>3.867</v>
      </c>
      <c r="U56">
        <v>16.7924</v>
      </c>
      <c r="V56">
        <v>2.20221</v>
      </c>
      <c r="W56">
        <v>30.0189</v>
      </c>
      <c r="X56">
        <v>4.85815</v>
      </c>
      <c r="Y56">
        <v>0.41948</v>
      </c>
      <c r="Z56">
        <v>-0.00832962</v>
      </c>
      <c r="AA56">
        <v>0.00257658</v>
      </c>
      <c r="AB56">
        <v>0.0514339</v>
      </c>
      <c r="AC56">
        <v>8.1557</v>
      </c>
      <c r="AD56">
        <v>0.41948</v>
      </c>
      <c r="AE56">
        <v>15.28</v>
      </c>
      <c r="AF56">
        <v>1.87354</v>
      </c>
      <c r="AG56">
        <v>35.2978</v>
      </c>
      <c r="AH56">
        <v>4.48261</v>
      </c>
      <c r="AI56">
        <v>0.43096</v>
      </c>
      <c r="AJ56">
        <v>-0.00881218</v>
      </c>
      <c r="AK56">
        <v>0.0025891</v>
      </c>
      <c r="AL56">
        <v>0.0516356</v>
      </c>
      <c r="AM56">
        <v>8.34617</v>
      </c>
      <c r="AN56">
        <v>0.43096</v>
      </c>
      <c r="AO56">
        <v>15.7857</v>
      </c>
      <c r="AP56">
        <v>1.89137</v>
      </c>
      <c r="AQ56">
        <v>34.3375</v>
      </c>
      <c r="AR56">
        <v>4.4121</v>
      </c>
      <c r="AS56">
        <f t="shared" si="0"/>
        <v>10.3652140745685</v>
      </c>
      <c r="AT56">
        <f t="shared" si="1"/>
        <v>8.97299053276406</v>
      </c>
      <c r="AU56">
        <f t="shared" si="2"/>
        <v>0.481</v>
      </c>
      <c r="AV56">
        <v>7.60069e-7</v>
      </c>
      <c r="AW56">
        <v>6.32562e-7</v>
      </c>
      <c r="AX56">
        <v>-4.16564e-8</v>
      </c>
      <c r="AY56">
        <v>-4.40697e-8</v>
      </c>
      <c r="AZ56">
        <v>301000</v>
      </c>
      <c r="BA56">
        <v>-96500</v>
      </c>
      <c r="BB56">
        <v>316167</v>
      </c>
      <c r="BC56">
        <v>-17.8</v>
      </c>
      <c r="BD56">
        <v>347750</v>
      </c>
      <c r="BE56">
        <f t="shared" si="3"/>
        <v>5.54126713866408</v>
      </c>
      <c r="BF56">
        <v>5.3616e-9</v>
      </c>
      <c r="BG56">
        <v>-8.2707055895088</v>
      </c>
      <c r="BH56">
        <v>0.75229</v>
      </c>
      <c r="BI56">
        <v>1986</v>
      </c>
      <c r="BJ56">
        <v>27190</v>
      </c>
      <c r="BK56">
        <v>4.4344092075875</v>
      </c>
      <c r="BL56">
        <v>8.0269e-10</v>
      </c>
      <c r="BM56">
        <v>-9.9961518779657</v>
      </c>
    </row>
    <row r="57" spans="1:65">
      <c r="A57">
        <v>55</v>
      </c>
      <c r="B57">
        <v>14</v>
      </c>
      <c r="C57" t="s">
        <v>68</v>
      </c>
      <c r="D57">
        <v>3</v>
      </c>
      <c r="E57" s="1">
        <v>5.208</v>
      </c>
      <c r="F57">
        <v>0.616801</v>
      </c>
      <c r="G57">
        <v>0.703287</v>
      </c>
      <c r="H57">
        <v>1.04096</v>
      </c>
      <c r="I57">
        <v>5.00309</v>
      </c>
      <c r="J57">
        <v>5.208</v>
      </c>
      <c r="K57">
        <v>8.44357</v>
      </c>
      <c r="L57">
        <v>1.68767</v>
      </c>
      <c r="M57">
        <v>10.2126</v>
      </c>
      <c r="N57">
        <v>2.53799</v>
      </c>
      <c r="O57">
        <v>5.088</v>
      </c>
      <c r="P57">
        <v>0.568811</v>
      </c>
      <c r="Q57">
        <v>0.591713</v>
      </c>
      <c r="R57">
        <v>0.95663</v>
      </c>
      <c r="S57">
        <v>5.31867</v>
      </c>
      <c r="T57">
        <v>5.088</v>
      </c>
      <c r="U57">
        <v>8.94497</v>
      </c>
      <c r="V57">
        <v>1.68181</v>
      </c>
      <c r="W57">
        <v>12.3158</v>
      </c>
      <c r="X57">
        <v>2.85504</v>
      </c>
      <c r="Y57">
        <v>0.42708</v>
      </c>
      <c r="Z57">
        <v>0.0307377</v>
      </c>
      <c r="AA57">
        <v>0.0023821</v>
      </c>
      <c r="AB57">
        <v>0.0576752</v>
      </c>
      <c r="AC57">
        <v>7.40491</v>
      </c>
      <c r="AD57">
        <v>0.42708</v>
      </c>
      <c r="AE57">
        <v>12.4826</v>
      </c>
      <c r="AF57">
        <v>1.68572</v>
      </c>
      <c r="AG57">
        <v>23.2119</v>
      </c>
      <c r="AH57">
        <v>3.48496</v>
      </c>
      <c r="AI57">
        <v>0.38816</v>
      </c>
      <c r="AJ57">
        <v>-0.000875537</v>
      </c>
      <c r="AK57">
        <v>0.00205539</v>
      </c>
      <c r="AL57">
        <v>0.0453403</v>
      </c>
      <c r="AM57">
        <v>8.56104</v>
      </c>
      <c r="AN57">
        <v>0.38816</v>
      </c>
      <c r="AO57">
        <v>15.695</v>
      </c>
      <c r="AP57">
        <v>1.83331</v>
      </c>
      <c r="AQ57">
        <v>27.9967</v>
      </c>
      <c r="AR57">
        <v>3.67026</v>
      </c>
      <c r="AS57">
        <f t="shared" si="0"/>
        <v>12.1944366395055</v>
      </c>
      <c r="AT57">
        <f t="shared" si="1"/>
        <v>13.1079967023908</v>
      </c>
      <c r="AU57">
        <f t="shared" si="2"/>
        <v>0.12</v>
      </c>
      <c r="AV57">
        <v>2.25056e-6</v>
      </c>
      <c r="AW57">
        <v>9.8872e-7</v>
      </c>
      <c r="AX57">
        <v>1.53719e-7</v>
      </c>
      <c r="AY57">
        <v>-4.37856e-9</v>
      </c>
      <c r="AZ57">
        <v>1367330</v>
      </c>
      <c r="BA57">
        <v>-1353330</v>
      </c>
      <c r="BB57">
        <v>1927670</v>
      </c>
      <c r="BC57">
        <v>-44.9667</v>
      </c>
      <c r="BD57">
        <v>2643100</v>
      </c>
      <c r="BE57">
        <f t="shared" si="3"/>
        <v>6.42211359469683</v>
      </c>
      <c r="BF57">
        <v>8.0128e-10</v>
      </c>
      <c r="BG57">
        <v>-9.0962156971417</v>
      </c>
      <c r="BH57">
        <v>0.8463</v>
      </c>
      <c r="BI57">
        <v>3008</v>
      </c>
      <c r="BJ57">
        <v>7553500000000</v>
      </c>
      <c r="BK57">
        <v>12.8781482335458</v>
      </c>
      <c r="BL57">
        <v>2.5617e-9</v>
      </c>
      <c r="BM57">
        <v>-9.23764408913297</v>
      </c>
    </row>
    <row r="58" spans="1:65">
      <c r="A58">
        <v>56</v>
      </c>
      <c r="B58">
        <v>15</v>
      </c>
      <c r="C58" t="s">
        <v>65</v>
      </c>
      <c r="D58">
        <v>0</v>
      </c>
      <c r="E58">
        <v>6.9764</v>
      </c>
      <c r="F58">
        <v>0.61894</v>
      </c>
      <c r="G58">
        <v>1.2232</v>
      </c>
      <c r="H58">
        <v>1.2673</v>
      </c>
      <c r="I58">
        <v>5.50494</v>
      </c>
      <c r="J58">
        <v>6.9764</v>
      </c>
      <c r="K58">
        <v>11.2705</v>
      </c>
      <c r="L58">
        <v>2.04734</v>
      </c>
      <c r="M58">
        <v>11.9547</v>
      </c>
      <c r="N58">
        <v>2.83476</v>
      </c>
      <c r="O58">
        <v>6.345</v>
      </c>
      <c r="P58">
        <v>0.753097</v>
      </c>
      <c r="Q58">
        <v>0.781983</v>
      </c>
      <c r="R58">
        <v>1.16146</v>
      </c>
      <c r="S58">
        <v>5.46297</v>
      </c>
      <c r="T58">
        <v>6.345</v>
      </c>
      <c r="U58">
        <v>8.42521</v>
      </c>
      <c r="V58">
        <v>1.54224</v>
      </c>
      <c r="W58">
        <v>15.6868</v>
      </c>
      <c r="X58">
        <v>3.38004</v>
      </c>
      <c r="Y58">
        <v>0.32804</v>
      </c>
      <c r="Z58">
        <v>-0.0129973</v>
      </c>
      <c r="AA58">
        <v>0.00254031</v>
      </c>
      <c r="AB58">
        <v>0.0520455</v>
      </c>
      <c r="AC58">
        <v>6.30295</v>
      </c>
      <c r="AD58">
        <v>0.32804</v>
      </c>
      <c r="AE58">
        <v>9.37784</v>
      </c>
      <c r="AF58">
        <v>1.48785</v>
      </c>
      <c r="AG58">
        <v>12.5411</v>
      </c>
      <c r="AH58">
        <v>2.06414</v>
      </c>
      <c r="AI58">
        <v>0.3516</v>
      </c>
      <c r="AJ58">
        <v>-0.000746651</v>
      </c>
      <c r="AK58">
        <v>0.00238021</v>
      </c>
      <c r="AL58">
        <v>0.0487883</v>
      </c>
      <c r="AM58">
        <v>7.20665</v>
      </c>
      <c r="AN58">
        <v>0.3516</v>
      </c>
      <c r="AO58">
        <v>11.7</v>
      </c>
      <c r="AP58">
        <v>1.6235</v>
      </c>
      <c r="AQ58">
        <v>15.3776</v>
      </c>
      <c r="AR58">
        <v>2.40738</v>
      </c>
      <c r="AS58">
        <f t="shared" si="0"/>
        <v>21.2669186684551</v>
      </c>
      <c r="AT58">
        <f t="shared" si="1"/>
        <v>18.0460750853242</v>
      </c>
      <c r="AU58">
        <f t="shared" si="2"/>
        <v>0.6314</v>
      </c>
      <c r="AV58">
        <v>1.6875e-6</v>
      </c>
      <c r="AW58">
        <v>1.57479e-6</v>
      </c>
      <c r="AX58">
        <v>-6.49994e-8</v>
      </c>
      <c r="AY58">
        <v>-3.734e-9</v>
      </c>
      <c r="AZ58">
        <v>2008670</v>
      </c>
      <c r="BA58">
        <v>-1969330</v>
      </c>
      <c r="BB58">
        <v>2816000</v>
      </c>
      <c r="BC58">
        <v>-44.6333</v>
      </c>
      <c r="BD58">
        <v>2254000</v>
      </c>
      <c r="BE58">
        <f t="shared" si="3"/>
        <v>6.35295391171009</v>
      </c>
      <c r="BF58">
        <v>5.1073e-10</v>
      </c>
      <c r="BG58">
        <v>-9.2918086311756</v>
      </c>
      <c r="BH58">
        <v>0.87345</v>
      </c>
      <c r="BI58">
        <v>6425</v>
      </c>
      <c r="BJ58">
        <v>3164500</v>
      </c>
      <c r="BK58">
        <v>6.50030510001057</v>
      </c>
      <c r="BL58">
        <v>5.992e-10</v>
      </c>
      <c r="BM58">
        <v>-9.87037454796432</v>
      </c>
    </row>
    <row r="59" spans="1:65">
      <c r="A59">
        <v>57</v>
      </c>
      <c r="B59">
        <v>15</v>
      </c>
      <c r="C59" t="s">
        <v>66</v>
      </c>
      <c r="D59">
        <v>1</v>
      </c>
      <c r="E59">
        <v>6.844</v>
      </c>
      <c r="F59">
        <v>1.08746</v>
      </c>
      <c r="G59">
        <v>1.31328</v>
      </c>
      <c r="H59">
        <v>1.57974</v>
      </c>
      <c r="I59">
        <v>4.33236</v>
      </c>
      <c r="J59">
        <v>6.844</v>
      </c>
      <c r="K59">
        <v>6.29358</v>
      </c>
      <c r="L59">
        <v>1.45269</v>
      </c>
      <c r="M59">
        <v>8.34376</v>
      </c>
      <c r="N59">
        <v>2.25116</v>
      </c>
      <c r="O59">
        <v>6.579</v>
      </c>
      <c r="P59">
        <v>0.937625</v>
      </c>
      <c r="Q59">
        <v>1.13281</v>
      </c>
      <c r="R59">
        <v>1.41835</v>
      </c>
      <c r="S59">
        <v>4.63848</v>
      </c>
      <c r="T59">
        <v>6.579</v>
      </c>
      <c r="U59">
        <v>7.01666</v>
      </c>
      <c r="V59">
        <v>1.51271</v>
      </c>
      <c r="W59">
        <v>9.38206</v>
      </c>
      <c r="X59">
        <v>2.39339</v>
      </c>
      <c r="Y59">
        <v>0.32384</v>
      </c>
      <c r="Z59">
        <v>0.0319648</v>
      </c>
      <c r="AA59">
        <v>0.00276899</v>
      </c>
      <c r="AB59">
        <v>0.0615644</v>
      </c>
      <c r="AC59">
        <v>5.26018</v>
      </c>
      <c r="AD59">
        <v>0.32384</v>
      </c>
      <c r="AE59">
        <v>7.95129</v>
      </c>
      <c r="AF59">
        <v>1.5116</v>
      </c>
      <c r="AG59">
        <v>7.2524</v>
      </c>
      <c r="AH59">
        <v>1.49502</v>
      </c>
      <c r="AI59">
        <v>0.39668</v>
      </c>
      <c r="AJ59">
        <v>0.0166927</v>
      </c>
      <c r="AK59">
        <v>0.00317298</v>
      </c>
      <c r="AL59">
        <v>0.0587452</v>
      </c>
      <c r="AM59">
        <v>6.75256</v>
      </c>
      <c r="AN59">
        <v>0.39668</v>
      </c>
      <c r="AO59">
        <v>10.9637</v>
      </c>
      <c r="AP59">
        <v>1.62363</v>
      </c>
      <c r="AQ59">
        <v>12.1798</v>
      </c>
      <c r="AR59">
        <v>2.16157</v>
      </c>
      <c r="AS59">
        <f t="shared" si="0"/>
        <v>21.1338932806324</v>
      </c>
      <c r="AT59">
        <f t="shared" si="1"/>
        <v>16.5851568014521</v>
      </c>
      <c r="AU59">
        <f t="shared" si="2"/>
        <v>0.265000000000001</v>
      </c>
      <c r="AV59">
        <v>4.06873e-6</v>
      </c>
      <c r="AW59">
        <v>3.13769e-6</v>
      </c>
      <c r="AX59">
        <v>1.59856e-7</v>
      </c>
      <c r="AY59">
        <v>8.348e-8</v>
      </c>
      <c r="AZ59">
        <v>2162000</v>
      </c>
      <c r="BA59">
        <v>-2935670</v>
      </c>
      <c r="BB59">
        <v>3651000</v>
      </c>
      <c r="BC59">
        <v>-53.9333</v>
      </c>
      <c r="BD59">
        <v>1642400</v>
      </c>
      <c r="BE59">
        <f t="shared" si="3"/>
        <v>6.21547893636254</v>
      </c>
      <c r="BF59">
        <v>1.3202e-9</v>
      </c>
      <c r="BG59">
        <v>-8.87936027158443</v>
      </c>
      <c r="BH59">
        <v>0.79992</v>
      </c>
      <c r="BI59">
        <v>6231</v>
      </c>
      <c r="BJ59">
        <v>8275700</v>
      </c>
      <c r="BK59">
        <v>6.91780473879577</v>
      </c>
      <c r="BL59">
        <v>2.5998e-10</v>
      </c>
      <c r="BM59">
        <v>-10.4454139371159</v>
      </c>
    </row>
    <row r="60" spans="1:65">
      <c r="A60">
        <v>58</v>
      </c>
      <c r="B60">
        <v>15</v>
      </c>
      <c r="C60" t="s">
        <v>67</v>
      </c>
      <c r="D60">
        <v>2</v>
      </c>
      <c r="E60">
        <v>6.65173</v>
      </c>
      <c r="F60">
        <v>0.869297</v>
      </c>
      <c r="G60">
        <v>1.23291</v>
      </c>
      <c r="H60">
        <v>1.41008</v>
      </c>
      <c r="I60">
        <v>4.71726</v>
      </c>
      <c r="J60">
        <v>6.65173</v>
      </c>
      <c r="K60">
        <v>7.65185</v>
      </c>
      <c r="L60">
        <v>1.6221</v>
      </c>
      <c r="M60">
        <v>9.29648</v>
      </c>
      <c r="N60">
        <v>2.41316</v>
      </c>
      <c r="O60">
        <v>6.441</v>
      </c>
      <c r="P60">
        <v>0.813425</v>
      </c>
      <c r="Q60">
        <v>0.940829</v>
      </c>
      <c r="R60">
        <v>1.26582</v>
      </c>
      <c r="S60">
        <v>5.0884</v>
      </c>
      <c r="T60">
        <v>6.441</v>
      </c>
      <c r="U60">
        <v>7.91837</v>
      </c>
      <c r="V60">
        <v>1.55616</v>
      </c>
      <c r="W60">
        <v>12.2914</v>
      </c>
      <c r="X60">
        <v>2.87636</v>
      </c>
      <c r="Y60">
        <v>0.34652</v>
      </c>
      <c r="Z60">
        <v>0.0237352</v>
      </c>
      <c r="AA60">
        <v>0.00265883</v>
      </c>
      <c r="AB60">
        <v>0.0567597</v>
      </c>
      <c r="AC60">
        <v>6.10504</v>
      </c>
      <c r="AD60">
        <v>0.34652</v>
      </c>
      <c r="AE60">
        <v>10.2877</v>
      </c>
      <c r="AF60">
        <v>1.68512</v>
      </c>
      <c r="AG60">
        <v>10.9594</v>
      </c>
      <c r="AH60">
        <v>2.15424</v>
      </c>
      <c r="AI60">
        <v>0.42228</v>
      </c>
      <c r="AJ60">
        <v>0.0168582</v>
      </c>
      <c r="AK60">
        <v>0.00291869</v>
      </c>
      <c r="AL60">
        <v>0.0565889</v>
      </c>
      <c r="AM60">
        <v>7.46224</v>
      </c>
      <c r="AN60">
        <v>0.42228</v>
      </c>
      <c r="AO60">
        <v>12.3561</v>
      </c>
      <c r="AP60">
        <v>1.65582</v>
      </c>
      <c r="AQ60">
        <v>14.3205</v>
      </c>
      <c r="AR60">
        <v>2.29838</v>
      </c>
      <c r="AS60">
        <f t="shared" si="0"/>
        <v>19.1958039939975</v>
      </c>
      <c r="AT60">
        <f t="shared" si="1"/>
        <v>15.2529127593066</v>
      </c>
      <c r="AU60">
        <f t="shared" si="2"/>
        <v>0.21073</v>
      </c>
      <c r="AV60">
        <v>3.27141e-6</v>
      </c>
      <c r="AW60">
        <v>2.6306e-6</v>
      </c>
      <c r="AX60">
        <v>1.187e-7</v>
      </c>
      <c r="AY60">
        <v>8.4308e-8</v>
      </c>
      <c r="AZ60">
        <v>1783330</v>
      </c>
      <c r="BA60">
        <v>-2785000</v>
      </c>
      <c r="BB60">
        <v>3312000</v>
      </c>
      <c r="BC60">
        <v>-57.6667</v>
      </c>
      <c r="BD60">
        <v>4068800</v>
      </c>
      <c r="BE60">
        <f t="shared" si="3"/>
        <v>6.60946634283163</v>
      </c>
      <c r="BF60">
        <v>8.2911e-10</v>
      </c>
      <c r="BG60">
        <v>-9.08138784674306</v>
      </c>
      <c r="BH60">
        <v>0.84107</v>
      </c>
      <c r="BI60">
        <v>6125</v>
      </c>
      <c r="BJ60">
        <v>11033000</v>
      </c>
      <c r="BK60">
        <v>7.04269361817864</v>
      </c>
      <c r="BL60">
        <v>5.6291e-10</v>
      </c>
      <c r="BM60">
        <v>-9.73461607504382</v>
      </c>
    </row>
    <row r="61" spans="1:65">
      <c r="A61">
        <v>59</v>
      </c>
      <c r="B61">
        <v>15</v>
      </c>
      <c r="C61" t="s">
        <v>68</v>
      </c>
      <c r="D61">
        <v>3</v>
      </c>
      <c r="E61">
        <v>6.898</v>
      </c>
      <c r="F61">
        <v>0.799037</v>
      </c>
      <c r="G61">
        <v>1.34572</v>
      </c>
      <c r="H61">
        <v>1.40852</v>
      </c>
      <c r="I61">
        <v>4.89736</v>
      </c>
      <c r="J61">
        <v>6.898</v>
      </c>
      <c r="K61">
        <v>8.63212</v>
      </c>
      <c r="L61">
        <v>1.76261</v>
      </c>
      <c r="M61">
        <v>9.32027</v>
      </c>
      <c r="N61">
        <v>2.39447</v>
      </c>
      <c r="O61">
        <v>6.71187</v>
      </c>
      <c r="P61">
        <v>0.768055</v>
      </c>
      <c r="Q61">
        <v>1.12293</v>
      </c>
      <c r="R61">
        <v>1.30867</v>
      </c>
      <c r="S61">
        <v>5.12878</v>
      </c>
      <c r="T61">
        <v>6.71187</v>
      </c>
      <c r="U61">
        <v>8.73879</v>
      </c>
      <c r="V61">
        <v>1.70387</v>
      </c>
      <c r="W61">
        <v>10.9209</v>
      </c>
      <c r="X61">
        <v>2.65496</v>
      </c>
      <c r="Y61">
        <v>0.354</v>
      </c>
      <c r="Z61">
        <v>0.0394727</v>
      </c>
      <c r="AA61">
        <v>0.00285987</v>
      </c>
      <c r="AB61">
        <v>0.0664634</v>
      </c>
      <c r="AC61">
        <v>5.32624</v>
      </c>
      <c r="AD61">
        <v>0.354</v>
      </c>
      <c r="AE61">
        <v>8.12126</v>
      </c>
      <c r="AF61">
        <v>1.52477</v>
      </c>
      <c r="AG61">
        <v>9.13815</v>
      </c>
      <c r="AH61">
        <v>1.86554</v>
      </c>
      <c r="AI61">
        <v>0.3608</v>
      </c>
      <c r="AJ61">
        <v>0.020086</v>
      </c>
      <c r="AK61">
        <v>0.00289419</v>
      </c>
      <c r="AL61">
        <v>0.05742</v>
      </c>
      <c r="AM61">
        <v>6.28352</v>
      </c>
      <c r="AN61">
        <v>0.3608</v>
      </c>
      <c r="AO61">
        <v>10.9204</v>
      </c>
      <c r="AP61">
        <v>1.73794</v>
      </c>
      <c r="AQ61">
        <v>13.5347</v>
      </c>
      <c r="AR61">
        <v>2.49154</v>
      </c>
      <c r="AS61">
        <f t="shared" si="0"/>
        <v>19.4858757062147</v>
      </c>
      <c r="AT61">
        <f t="shared" si="1"/>
        <v>18.602743902439</v>
      </c>
      <c r="AU61">
        <f t="shared" si="2"/>
        <v>0.186129999999999</v>
      </c>
      <c r="AV61">
        <v>3.99008e-6</v>
      </c>
      <c r="AW61">
        <v>3.01209e-6</v>
      </c>
      <c r="AX61">
        <v>1.97403e-7</v>
      </c>
      <c r="AY61">
        <v>1.0045e-7</v>
      </c>
      <c r="AZ61">
        <v>2404670</v>
      </c>
      <c r="BA61">
        <v>-3285330</v>
      </c>
      <c r="BB61">
        <v>4072330</v>
      </c>
      <c r="BC61">
        <v>-53.9</v>
      </c>
      <c r="BD61">
        <v>3462100</v>
      </c>
      <c r="BE61">
        <f t="shared" si="3"/>
        <v>6.53933960797062</v>
      </c>
      <c r="BF61">
        <v>3.9063e-10</v>
      </c>
      <c r="BG61">
        <v>-9.40823440637806</v>
      </c>
      <c r="BH61">
        <v>0.885</v>
      </c>
      <c r="BI61">
        <v>8032</v>
      </c>
      <c r="BJ61">
        <v>11939000</v>
      </c>
      <c r="BK61">
        <v>7.07696795219792</v>
      </c>
      <c r="BL61">
        <v>4.2303e-10</v>
      </c>
      <c r="BM61">
        <v>-9.99516293906169</v>
      </c>
    </row>
    <row r="62" spans="1:65">
      <c r="A62">
        <v>60</v>
      </c>
      <c r="B62">
        <v>16</v>
      </c>
      <c r="C62" t="s">
        <v>65</v>
      </c>
      <c r="D62">
        <v>0</v>
      </c>
      <c r="E62">
        <v>6.831</v>
      </c>
      <c r="F62">
        <v>0.814457</v>
      </c>
      <c r="G62">
        <v>1.11387</v>
      </c>
      <c r="H62">
        <v>1.33304</v>
      </c>
      <c r="I62">
        <v>5.12438</v>
      </c>
      <c r="J62">
        <v>6.831</v>
      </c>
      <c r="K62">
        <v>8.38718</v>
      </c>
      <c r="L62">
        <v>1.63672</v>
      </c>
      <c r="M62">
        <v>10.6504</v>
      </c>
      <c r="N62">
        <v>2.57591</v>
      </c>
      <c r="O62">
        <v>6.69</v>
      </c>
      <c r="P62">
        <v>0.739591</v>
      </c>
      <c r="Q62">
        <v>0.998061</v>
      </c>
      <c r="R62">
        <v>1.24292</v>
      </c>
      <c r="S62">
        <v>5.38248</v>
      </c>
      <c r="T62">
        <v>6.69</v>
      </c>
      <c r="U62">
        <v>9.04423</v>
      </c>
      <c r="V62">
        <v>1.68031</v>
      </c>
      <c r="W62">
        <v>12.7848</v>
      </c>
      <c r="X62">
        <v>2.88358</v>
      </c>
      <c r="Y62">
        <v>0.5798</v>
      </c>
      <c r="Z62">
        <v>0.242648</v>
      </c>
      <c r="AA62">
        <v>0.00429452</v>
      </c>
      <c r="AB62">
        <v>0.25134</v>
      </c>
      <c r="AC62">
        <v>2.30684</v>
      </c>
      <c r="AD62">
        <v>0.5798</v>
      </c>
      <c r="AE62">
        <v>2.38947</v>
      </c>
      <c r="AF62">
        <v>1.03582</v>
      </c>
      <c r="AG62">
        <v>7.96025</v>
      </c>
      <c r="AH62">
        <v>0.46642</v>
      </c>
      <c r="AI62">
        <v>0.66984</v>
      </c>
      <c r="AJ62">
        <v>0.259048</v>
      </c>
      <c r="AK62">
        <v>0.00471999</v>
      </c>
      <c r="AL62">
        <v>0.268001</v>
      </c>
      <c r="AM62">
        <v>2.49939</v>
      </c>
      <c r="AN62">
        <v>0.66984</v>
      </c>
      <c r="AO62">
        <v>2.58578</v>
      </c>
      <c r="AP62">
        <v>1.03456</v>
      </c>
      <c r="AQ62">
        <v>6.9697</v>
      </c>
      <c r="AR62">
        <v>0.701958</v>
      </c>
      <c r="AS62">
        <f t="shared" si="0"/>
        <v>11.7816488444291</v>
      </c>
      <c r="AT62">
        <f t="shared" si="1"/>
        <v>9.98745969186671</v>
      </c>
      <c r="AU62">
        <f t="shared" si="2"/>
        <v>0.141</v>
      </c>
      <c r="AV62">
        <v>1.07605e-5</v>
      </c>
      <c r="AW62">
        <v>1.02508e-5</v>
      </c>
      <c r="AX62">
        <v>1.21348e-6</v>
      </c>
      <c r="AY62">
        <v>1.2955e-6</v>
      </c>
      <c r="AZ62">
        <v>1645670</v>
      </c>
      <c r="BA62">
        <v>-2017000</v>
      </c>
      <c r="BB62">
        <v>2603670</v>
      </c>
      <c r="BC62">
        <v>-50.9</v>
      </c>
      <c r="BD62">
        <v>4558000</v>
      </c>
      <c r="BE62">
        <f t="shared" si="3"/>
        <v>6.65877432084436</v>
      </c>
      <c r="BF62">
        <v>1.9912e-9</v>
      </c>
      <c r="BG62">
        <v>-8.70088511639946</v>
      </c>
      <c r="BH62">
        <v>0.72889</v>
      </c>
      <c r="BI62">
        <v>7435</v>
      </c>
      <c r="BJ62">
        <v>1933700</v>
      </c>
      <c r="BK62">
        <v>6.28638909722852</v>
      </c>
      <c r="BL62">
        <v>1.0133e-9</v>
      </c>
      <c r="BM62">
        <v>-8.80498643712417</v>
      </c>
    </row>
    <row r="63" spans="1:65">
      <c r="A63">
        <v>61</v>
      </c>
      <c r="B63">
        <v>16</v>
      </c>
      <c r="C63" t="s">
        <v>66</v>
      </c>
      <c r="D63">
        <v>1</v>
      </c>
      <c r="E63">
        <v>6.34433</v>
      </c>
      <c r="F63">
        <v>1.28336</v>
      </c>
      <c r="G63">
        <v>1.00722</v>
      </c>
      <c r="H63">
        <v>1.62912</v>
      </c>
      <c r="I63">
        <v>3.89432</v>
      </c>
      <c r="J63">
        <v>6.34433</v>
      </c>
      <c r="K63">
        <v>4.94353</v>
      </c>
      <c r="L63">
        <v>1.26942</v>
      </c>
      <c r="M63">
        <v>7.70765</v>
      </c>
      <c r="N63">
        <v>2.10711</v>
      </c>
      <c r="O63">
        <v>5.88208</v>
      </c>
      <c r="P63">
        <v>1.07008</v>
      </c>
      <c r="Q63">
        <v>0.804481</v>
      </c>
      <c r="R63">
        <v>1.3962</v>
      </c>
      <c r="S63">
        <v>4.2129</v>
      </c>
      <c r="T63">
        <v>5.88208</v>
      </c>
      <c r="U63">
        <v>5.49687</v>
      </c>
      <c r="V63">
        <v>1.30477</v>
      </c>
      <c r="W63">
        <v>9.57878</v>
      </c>
      <c r="X63">
        <v>2.39813</v>
      </c>
      <c r="Y63">
        <v>0.57296</v>
      </c>
      <c r="Z63">
        <v>0.224202</v>
      </c>
      <c r="AA63">
        <v>0.00555538</v>
      </c>
      <c r="AB63">
        <v>0.236265</v>
      </c>
      <c r="AC63">
        <v>2.42508</v>
      </c>
      <c r="AD63">
        <v>0.57296</v>
      </c>
      <c r="AE63">
        <v>2.55555</v>
      </c>
      <c r="AF63">
        <v>1.0538</v>
      </c>
      <c r="AG63">
        <v>5.86117</v>
      </c>
      <c r="AH63">
        <v>0.046591</v>
      </c>
      <c r="AI63">
        <v>0.57164</v>
      </c>
      <c r="AJ63">
        <v>0.243387</v>
      </c>
      <c r="AK63">
        <v>0.0044641</v>
      </c>
      <c r="AL63">
        <v>0.25239</v>
      </c>
      <c r="AM63">
        <v>2.26491</v>
      </c>
      <c r="AN63">
        <v>0.57164</v>
      </c>
      <c r="AO63">
        <v>2.34869</v>
      </c>
      <c r="AP63">
        <v>1.03699</v>
      </c>
      <c r="AQ63">
        <v>7.1837</v>
      </c>
      <c r="AR63">
        <v>0.373469</v>
      </c>
      <c r="AS63">
        <f t="shared" si="0"/>
        <v>11.0729021223122</v>
      </c>
      <c r="AT63">
        <f t="shared" si="1"/>
        <v>10.2898327618781</v>
      </c>
      <c r="AU63">
        <f t="shared" si="2"/>
        <v>0.46225</v>
      </c>
      <c r="AV63">
        <v>1.52439e-5</v>
      </c>
      <c r="AW63">
        <v>1.35131e-5</v>
      </c>
      <c r="AX63">
        <v>1.12124e-6</v>
      </c>
      <c r="AY63">
        <v>1.21718e-6</v>
      </c>
      <c r="AZ63">
        <v>1385330</v>
      </c>
      <c r="BA63">
        <v>-1912330</v>
      </c>
      <c r="BB63">
        <v>2363000</v>
      </c>
      <c r="BC63">
        <v>-54.2333</v>
      </c>
      <c r="BD63">
        <v>2799800</v>
      </c>
      <c r="BE63">
        <f t="shared" si="3"/>
        <v>6.44712700919985</v>
      </c>
      <c r="BF63">
        <v>1.1881e-9</v>
      </c>
      <c r="BG63">
        <v>-8.92514700411875</v>
      </c>
      <c r="BH63">
        <v>0.82305</v>
      </c>
      <c r="BI63">
        <v>5473</v>
      </c>
      <c r="BJ63">
        <v>3991000</v>
      </c>
      <c r="BK63">
        <v>6.60108172778402</v>
      </c>
      <c r="BL63">
        <v>8.0341e-10</v>
      </c>
      <c r="BM63">
        <v>-9.48193374570839</v>
      </c>
    </row>
    <row r="64" spans="1:65">
      <c r="A64">
        <v>62</v>
      </c>
      <c r="B64">
        <v>16</v>
      </c>
      <c r="C64" t="s">
        <v>67</v>
      </c>
      <c r="D64">
        <v>2</v>
      </c>
      <c r="E64">
        <v>6.125</v>
      </c>
      <c r="F64">
        <v>0.712453</v>
      </c>
      <c r="G64">
        <v>1.05132</v>
      </c>
      <c r="H64">
        <v>1.24848</v>
      </c>
      <c r="I64">
        <v>4.90597</v>
      </c>
      <c r="J64">
        <v>6.125</v>
      </c>
      <c r="K64">
        <v>8.5906</v>
      </c>
      <c r="L64">
        <v>1.75105</v>
      </c>
      <c r="M64">
        <v>8.88422</v>
      </c>
      <c r="N64">
        <v>2.2998</v>
      </c>
      <c r="O64">
        <v>6.125</v>
      </c>
      <c r="P64">
        <v>0.767021</v>
      </c>
      <c r="Q64">
        <v>0.852606</v>
      </c>
      <c r="R64">
        <v>1.20032</v>
      </c>
      <c r="S64">
        <v>5.10283</v>
      </c>
      <c r="T64">
        <v>6.125</v>
      </c>
      <c r="U64">
        <v>7.98544</v>
      </c>
      <c r="V64">
        <v>1.56491</v>
      </c>
      <c r="W64">
        <v>12.003</v>
      </c>
      <c r="X64">
        <v>2.78566</v>
      </c>
      <c r="Y64">
        <v>0.49416</v>
      </c>
      <c r="Z64">
        <v>0.17524</v>
      </c>
      <c r="AA64">
        <v>0.00592999</v>
      </c>
      <c r="AB64">
        <v>0.19141</v>
      </c>
      <c r="AC64">
        <v>2.58168</v>
      </c>
      <c r="AD64">
        <v>0.49416</v>
      </c>
      <c r="AE64">
        <v>2.81909</v>
      </c>
      <c r="AF64">
        <v>1.09196</v>
      </c>
      <c r="AG64">
        <v>2.74797</v>
      </c>
      <c r="AH64">
        <v>-0.359519</v>
      </c>
      <c r="AI64">
        <v>0.594</v>
      </c>
      <c r="AJ64">
        <v>0.223439</v>
      </c>
      <c r="AK64">
        <v>0.00490652</v>
      </c>
      <c r="AL64">
        <v>0.234159</v>
      </c>
      <c r="AM64">
        <v>2.53673</v>
      </c>
      <c r="AN64">
        <v>0.594</v>
      </c>
      <c r="AO64">
        <v>2.65844</v>
      </c>
      <c r="AP64">
        <v>1.04798</v>
      </c>
      <c r="AQ64">
        <v>7.2202</v>
      </c>
      <c r="AR64">
        <v>0.26071</v>
      </c>
      <c r="AS64">
        <f t="shared" si="0"/>
        <v>12.394770924397</v>
      </c>
      <c r="AT64">
        <f t="shared" si="1"/>
        <v>10.3114478114478</v>
      </c>
      <c r="AU64">
        <f t="shared" si="2"/>
        <v>0</v>
      </c>
      <c r="AV64">
        <v>6.64781e-6</v>
      </c>
      <c r="AW64">
        <v>9.14148e-6</v>
      </c>
      <c r="AX64">
        <v>8.76377e-7</v>
      </c>
      <c r="AY64">
        <v>1.11742e-6</v>
      </c>
      <c r="AZ64">
        <v>1520330</v>
      </c>
      <c r="BA64">
        <v>-1440330</v>
      </c>
      <c r="BB64">
        <v>2096000</v>
      </c>
      <c r="BC64">
        <v>-43.6667</v>
      </c>
      <c r="BD64">
        <v>1371500</v>
      </c>
      <c r="BE64">
        <f t="shared" si="3"/>
        <v>6.13719581194055</v>
      </c>
      <c r="BF64">
        <v>1.4009e-9</v>
      </c>
      <c r="BG64">
        <v>-8.85359286471295</v>
      </c>
      <c r="BH64">
        <v>0.78905</v>
      </c>
      <c r="BI64">
        <v>5278</v>
      </c>
      <c r="BJ64">
        <v>2453300</v>
      </c>
      <c r="BK64">
        <v>6.38975065883751</v>
      </c>
      <c r="BL64">
        <v>5.4976e-10</v>
      </c>
      <c r="BM64">
        <v>-10.2695892130255</v>
      </c>
    </row>
    <row r="65" spans="1:65">
      <c r="A65">
        <v>63</v>
      </c>
      <c r="B65">
        <v>16</v>
      </c>
      <c r="C65" t="s">
        <v>68</v>
      </c>
      <c r="D65">
        <v>3</v>
      </c>
      <c r="E65">
        <v>8.951</v>
      </c>
      <c r="F65">
        <v>1.05035</v>
      </c>
      <c r="G65">
        <v>2.55875</v>
      </c>
      <c r="H65">
        <v>1.9135</v>
      </c>
      <c r="I65">
        <v>4.67782</v>
      </c>
      <c r="J65">
        <v>8.951</v>
      </c>
      <c r="K65">
        <v>8.4741</v>
      </c>
      <c r="L65">
        <v>1.81155</v>
      </c>
      <c r="M65">
        <v>8.4992</v>
      </c>
      <c r="N65">
        <v>2.2681</v>
      </c>
      <c r="O65">
        <v>7.74167</v>
      </c>
      <c r="P65">
        <v>0.929549</v>
      </c>
      <c r="Q65">
        <v>1.41164</v>
      </c>
      <c r="R65">
        <v>1.50845</v>
      </c>
      <c r="S65">
        <v>5.13221</v>
      </c>
      <c r="T65">
        <v>7.74167</v>
      </c>
      <c r="U65">
        <v>8.32841</v>
      </c>
      <c r="V65">
        <v>1.62277</v>
      </c>
      <c r="W65">
        <v>11.0456</v>
      </c>
      <c r="X65">
        <v>2.61874</v>
      </c>
      <c r="Y65">
        <v>0.561</v>
      </c>
      <c r="Z65">
        <v>0.272999</v>
      </c>
      <c r="AA65">
        <v>0.00510753</v>
      </c>
      <c r="AB65">
        <v>0.282197</v>
      </c>
      <c r="AC65">
        <v>1.98797</v>
      </c>
      <c r="AD65">
        <v>0.561</v>
      </c>
      <c r="AE65">
        <v>2.05495</v>
      </c>
      <c r="AF65">
        <v>1.03369</v>
      </c>
      <c r="AG65">
        <v>4.86111</v>
      </c>
      <c r="AH65">
        <v>0.700159</v>
      </c>
      <c r="AI65">
        <v>0.54252</v>
      </c>
      <c r="AJ65">
        <v>0.250257</v>
      </c>
      <c r="AK65">
        <v>0.00413486</v>
      </c>
      <c r="AL65">
        <v>0.258384</v>
      </c>
      <c r="AM65">
        <v>2.09966</v>
      </c>
      <c r="AN65">
        <v>0.54252</v>
      </c>
      <c r="AO65">
        <v>2.16785</v>
      </c>
      <c r="AP65">
        <v>1.03248</v>
      </c>
      <c r="AQ65">
        <v>6.27156</v>
      </c>
      <c r="AR65">
        <v>0.276421</v>
      </c>
      <c r="AS65">
        <f t="shared" si="0"/>
        <v>15.9554367201426</v>
      </c>
      <c r="AT65">
        <f t="shared" si="1"/>
        <v>14.2698333701983</v>
      </c>
      <c r="AU65">
        <f t="shared" si="2"/>
        <v>1.20933</v>
      </c>
      <c r="AV65">
        <v>1.64707e-5</v>
      </c>
      <c r="AW65">
        <v>1.26768e-5</v>
      </c>
      <c r="AX65">
        <v>1.36527e-6</v>
      </c>
      <c r="AY65">
        <v>1.25153e-6</v>
      </c>
      <c r="AZ65">
        <v>2016670</v>
      </c>
      <c r="BA65">
        <v>-3061330</v>
      </c>
      <c r="BB65">
        <v>3668000</v>
      </c>
      <c r="BC65">
        <v>-56.8667</v>
      </c>
      <c r="BD65">
        <v>7825500</v>
      </c>
      <c r="BE65">
        <f t="shared" si="3"/>
        <v>6.89351209577806</v>
      </c>
      <c r="BF65">
        <v>8.0912e-10</v>
      </c>
      <c r="BG65">
        <v>-9.09198706371153</v>
      </c>
      <c r="BH65">
        <v>0.80151</v>
      </c>
      <c r="BI65">
        <v>5488</v>
      </c>
      <c r="BJ65">
        <v>21005000</v>
      </c>
      <c r="BK65">
        <v>7.32232268587401</v>
      </c>
      <c r="BL65">
        <v>1.2051e-9</v>
      </c>
      <c r="BM65">
        <v>-8.85127398360185</v>
      </c>
    </row>
    <row r="66" spans="1:65">
      <c r="A66">
        <v>64</v>
      </c>
      <c r="B66">
        <v>17</v>
      </c>
      <c r="C66" t="s">
        <v>65</v>
      </c>
      <c r="D66">
        <v>0</v>
      </c>
      <c r="E66">
        <v>5.2624</v>
      </c>
      <c r="F66">
        <v>0.460165</v>
      </c>
      <c r="G66">
        <v>0.55824</v>
      </c>
      <c r="H66">
        <v>0.877428</v>
      </c>
      <c r="I66">
        <v>5.99753</v>
      </c>
      <c r="J66">
        <v>5.2624</v>
      </c>
      <c r="K66">
        <v>11.4359</v>
      </c>
      <c r="L66">
        <v>1.90677</v>
      </c>
      <c r="M66">
        <v>16.3981</v>
      </c>
      <c r="N66">
        <v>3.44178</v>
      </c>
      <c r="O66">
        <v>5.04</v>
      </c>
      <c r="P66">
        <v>0.402701</v>
      </c>
      <c r="Q66">
        <v>0.478747</v>
      </c>
      <c r="R66">
        <v>0.800512</v>
      </c>
      <c r="S66">
        <v>6.29597</v>
      </c>
      <c r="T66">
        <v>5.04</v>
      </c>
      <c r="U66">
        <v>12.5155</v>
      </c>
      <c r="V66">
        <v>1.98786</v>
      </c>
      <c r="W66">
        <v>18.7643</v>
      </c>
      <c r="X66">
        <v>3.73049</v>
      </c>
      <c r="Y66">
        <v>0.34148</v>
      </c>
      <c r="Z66">
        <v>-0.00141792</v>
      </c>
      <c r="AA66">
        <v>0.00179449</v>
      </c>
      <c r="AB66">
        <v>0.0423809</v>
      </c>
      <c r="AC66">
        <v>8.05739</v>
      </c>
      <c r="AD66">
        <v>0.34148</v>
      </c>
      <c r="AE66">
        <v>16.2286</v>
      </c>
      <c r="AF66">
        <v>2.01413</v>
      </c>
      <c r="AG66">
        <v>31.4977</v>
      </c>
      <c r="AH66">
        <v>4.09753</v>
      </c>
      <c r="AI66">
        <v>0.42832</v>
      </c>
      <c r="AJ66">
        <v>-0.00532565</v>
      </c>
      <c r="AK66">
        <v>0.00235042</v>
      </c>
      <c r="AL66">
        <v>0.048768</v>
      </c>
      <c r="AM66">
        <v>8.78282</v>
      </c>
      <c r="AN66">
        <v>0.42832</v>
      </c>
      <c r="AO66">
        <v>16.5256</v>
      </c>
      <c r="AP66">
        <v>1.88158</v>
      </c>
      <c r="AQ66">
        <v>31.7334</v>
      </c>
      <c r="AR66">
        <v>3.99525</v>
      </c>
      <c r="AS66">
        <f t="shared" si="0"/>
        <v>15.4105657725196</v>
      </c>
      <c r="AT66">
        <f t="shared" si="1"/>
        <v>11.7669032499066</v>
      </c>
      <c r="AU66">
        <f t="shared" si="2"/>
        <v>0.2224</v>
      </c>
      <c r="AV66">
        <v>9.15831e-7</v>
      </c>
      <c r="AW66">
        <v>9.92332e-7</v>
      </c>
      <c r="AX66">
        <v>-7.091e-9</v>
      </c>
      <c r="AY66">
        <v>-2.66336e-8</v>
      </c>
      <c r="AZ66">
        <v>743800</v>
      </c>
      <c r="BA66">
        <v>-374200</v>
      </c>
      <c r="BB66">
        <v>832733</v>
      </c>
      <c r="BC66">
        <v>-26.7333</v>
      </c>
      <c r="BD66">
        <v>564880</v>
      </c>
      <c r="BE66">
        <f t="shared" si="3"/>
        <v>5.75195619848672</v>
      </c>
      <c r="BF66">
        <v>1.0906e-9</v>
      </c>
      <c r="BG66">
        <v>-8.9623345066492</v>
      </c>
      <c r="BH66">
        <v>0.8279</v>
      </c>
      <c r="BI66">
        <v>2231</v>
      </c>
      <c r="BJ66">
        <v>474990</v>
      </c>
      <c r="BK66">
        <v>5.6766844664869</v>
      </c>
      <c r="BL66">
        <v>1.5063e-9</v>
      </c>
      <c r="BM66">
        <v>-9.54558202500421</v>
      </c>
    </row>
    <row r="67" spans="1:65">
      <c r="A67">
        <v>65</v>
      </c>
      <c r="B67">
        <v>17</v>
      </c>
      <c r="C67" t="s">
        <v>66</v>
      </c>
      <c r="D67">
        <v>1</v>
      </c>
      <c r="E67">
        <v>5.996</v>
      </c>
      <c r="F67">
        <v>0.609655</v>
      </c>
      <c r="G67">
        <v>0.84252</v>
      </c>
      <c r="H67">
        <v>1.10183</v>
      </c>
      <c r="I67">
        <v>5.44185</v>
      </c>
      <c r="J67">
        <v>5.996</v>
      </c>
      <c r="K67">
        <v>9.83507</v>
      </c>
      <c r="L67">
        <v>1.8073</v>
      </c>
      <c r="M67">
        <v>12.457</v>
      </c>
      <c r="N67">
        <v>2.89123</v>
      </c>
      <c r="O67">
        <v>5.76793</v>
      </c>
      <c r="P67">
        <v>0.554891</v>
      </c>
      <c r="Q67">
        <v>0.700029</v>
      </c>
      <c r="R67">
        <v>1.00389</v>
      </c>
      <c r="S67">
        <v>5.74559</v>
      </c>
      <c r="T67">
        <v>5.76793</v>
      </c>
      <c r="U67">
        <v>10.3947</v>
      </c>
      <c r="V67">
        <v>1.80916</v>
      </c>
      <c r="W67">
        <v>14.6633</v>
      </c>
      <c r="X67">
        <v>3.1819</v>
      </c>
      <c r="Y67">
        <v>0.38512</v>
      </c>
      <c r="Z67">
        <v>-0.0134634</v>
      </c>
      <c r="AA67">
        <v>0.00237646</v>
      </c>
      <c r="AB67">
        <v>0.0505693</v>
      </c>
      <c r="AC67">
        <v>7.61569</v>
      </c>
      <c r="AD67">
        <v>0.38512</v>
      </c>
      <c r="AE67">
        <v>11.8442</v>
      </c>
      <c r="AF67">
        <v>1.55524</v>
      </c>
      <c r="AG67">
        <v>20.3422</v>
      </c>
      <c r="AH67">
        <v>2.88367</v>
      </c>
      <c r="AI67">
        <v>0.34648</v>
      </c>
      <c r="AJ67">
        <v>-0.00150082</v>
      </c>
      <c r="AK67">
        <v>0.00181475</v>
      </c>
      <c r="AL67">
        <v>0.0426221</v>
      </c>
      <c r="AM67">
        <v>8.12912</v>
      </c>
      <c r="AN67">
        <v>0.34648</v>
      </c>
      <c r="AO67">
        <v>15.1174</v>
      </c>
      <c r="AP67">
        <v>1.85966</v>
      </c>
      <c r="AQ67">
        <v>26.5771</v>
      </c>
      <c r="AR67">
        <v>3.49078</v>
      </c>
      <c r="AS67">
        <f t="shared" ref="AS67:AS129" si="4">E67/Y67</f>
        <v>15.569173244703</v>
      </c>
      <c r="AT67">
        <f t="shared" ref="AT67:AT129" si="5">O67/AI67</f>
        <v>16.6472235049642</v>
      </c>
      <c r="AU67">
        <f t="shared" ref="AU67:AU129" si="6">E67-O67</f>
        <v>0.228070000000001</v>
      </c>
      <c r="AV67">
        <v>1.0169e-6</v>
      </c>
      <c r="AW67">
        <v>1.10041e-6</v>
      </c>
      <c r="AX67">
        <v>-6.73303e-8</v>
      </c>
      <c r="AY67">
        <v>-7.5056e-9</v>
      </c>
      <c r="AZ67">
        <v>1184330</v>
      </c>
      <c r="BA67">
        <v>-803333</v>
      </c>
      <c r="BB67">
        <v>1432000</v>
      </c>
      <c r="BC67">
        <v>-34.2667</v>
      </c>
      <c r="BD67">
        <v>943440</v>
      </c>
      <c r="BE67">
        <f t="shared" ref="BE67:BE129" si="7">LOG(BD67)</f>
        <v>5.97471428553169</v>
      </c>
      <c r="BF67">
        <v>1.2233e-9</v>
      </c>
      <c r="BG67">
        <v>-8.91246702426591</v>
      </c>
      <c r="BH67">
        <v>0.79132</v>
      </c>
      <c r="BI67">
        <v>1144</v>
      </c>
      <c r="BJ67">
        <v>1248700</v>
      </c>
      <c r="BK67">
        <v>6.09645811171745</v>
      </c>
      <c r="BL67">
        <v>8.9359e-10</v>
      </c>
      <c r="BM67">
        <v>-9.90960085074454</v>
      </c>
    </row>
    <row r="68" spans="1:65">
      <c r="A68">
        <v>66</v>
      </c>
      <c r="B68">
        <v>17</v>
      </c>
      <c r="C68" t="s">
        <v>67</v>
      </c>
      <c r="D68">
        <v>2</v>
      </c>
      <c r="E68" s="1">
        <v>6.9764</v>
      </c>
      <c r="F68">
        <v>0.815825</v>
      </c>
      <c r="G68">
        <v>1.15381</v>
      </c>
      <c r="H68">
        <v>1.34876</v>
      </c>
      <c r="I68">
        <v>5.17247</v>
      </c>
      <c r="J68">
        <v>6.9764</v>
      </c>
      <c r="K68">
        <v>8.55135</v>
      </c>
      <c r="L68">
        <v>1.65324</v>
      </c>
      <c r="M68">
        <v>11.9763</v>
      </c>
      <c r="N68">
        <v>2.83044</v>
      </c>
      <c r="O68">
        <v>6.892</v>
      </c>
      <c r="P68">
        <v>0.663549</v>
      </c>
      <c r="Q68">
        <v>0.982825</v>
      </c>
      <c r="R68">
        <v>1.19286</v>
      </c>
      <c r="S68">
        <v>5.77769</v>
      </c>
      <c r="T68">
        <v>6.892</v>
      </c>
      <c r="U68">
        <v>10.3866</v>
      </c>
      <c r="V68">
        <v>1.7977</v>
      </c>
      <c r="W68">
        <v>15.2603</v>
      </c>
      <c r="X68">
        <v>3.28181</v>
      </c>
      <c r="Y68">
        <v>0.35516</v>
      </c>
      <c r="Z68">
        <v>-0.00232853</v>
      </c>
      <c r="AA68">
        <v>0.00215105</v>
      </c>
      <c r="AB68">
        <v>0.0464332</v>
      </c>
      <c r="AC68">
        <v>7.64884</v>
      </c>
      <c r="AD68">
        <v>0.35516</v>
      </c>
      <c r="AE68">
        <v>12.5316</v>
      </c>
      <c r="AF68">
        <v>1.63837</v>
      </c>
      <c r="AG68">
        <v>17.1723</v>
      </c>
      <c r="AH68">
        <v>2.50867</v>
      </c>
      <c r="AI68">
        <v>0.36024</v>
      </c>
      <c r="AJ68">
        <v>-0.018677</v>
      </c>
      <c r="AK68">
        <v>0.00208593</v>
      </c>
      <c r="AL68">
        <v>0.049339</v>
      </c>
      <c r="AM68">
        <v>7.30132</v>
      </c>
      <c r="AN68">
        <v>0.36024</v>
      </c>
      <c r="AO68">
        <v>10.5934</v>
      </c>
      <c r="AP68">
        <v>1.45089</v>
      </c>
      <c r="AQ68">
        <v>17.4937</v>
      </c>
      <c r="AR68">
        <v>2.46388</v>
      </c>
      <c r="AS68">
        <f t="shared" si="4"/>
        <v>19.6429778128168</v>
      </c>
      <c r="AT68">
        <f t="shared" si="5"/>
        <v>19.1316899844548</v>
      </c>
      <c r="AU68">
        <f t="shared" si="6"/>
        <v>0.0843999999999996</v>
      </c>
      <c r="AV68">
        <v>1.61511e-6</v>
      </c>
      <c r="AW68">
        <v>7.63073e-7</v>
      </c>
      <c r="AX68">
        <v>-1.1645e-8</v>
      </c>
      <c r="AY68">
        <v>-9.34036e-8</v>
      </c>
      <c r="AZ68">
        <v>1308000</v>
      </c>
      <c r="BA68">
        <v>-978900</v>
      </c>
      <c r="BB68">
        <v>1634000</v>
      </c>
      <c r="BC68">
        <v>-36.8667</v>
      </c>
      <c r="BD68">
        <v>1659100</v>
      </c>
      <c r="BE68">
        <f t="shared" si="7"/>
        <v>6.21987256332354</v>
      </c>
      <c r="BF68">
        <v>2.1985e-9</v>
      </c>
      <c r="BG68">
        <v>-8.65787353004428</v>
      </c>
      <c r="BH68">
        <v>0.71855</v>
      </c>
      <c r="BI68">
        <v>1714</v>
      </c>
      <c r="BJ68">
        <v>1097300</v>
      </c>
      <c r="BK68">
        <v>6.04032537919972</v>
      </c>
      <c r="BL68">
        <v>1.4356e-9</v>
      </c>
      <c r="BM68">
        <v>-9.34933314243719</v>
      </c>
    </row>
    <row r="69" spans="1:65">
      <c r="A69">
        <v>67</v>
      </c>
      <c r="B69">
        <v>17</v>
      </c>
      <c r="C69" t="s">
        <v>68</v>
      </c>
      <c r="D69">
        <v>3</v>
      </c>
      <c r="E69">
        <v>5.29873</v>
      </c>
      <c r="F69">
        <v>0.499831</v>
      </c>
      <c r="G69">
        <v>0.655707</v>
      </c>
      <c r="H69">
        <v>0.951528</v>
      </c>
      <c r="I69">
        <v>5.56865</v>
      </c>
      <c r="J69">
        <v>5.29873</v>
      </c>
      <c r="K69">
        <v>10.5317</v>
      </c>
      <c r="L69">
        <v>1.89125</v>
      </c>
      <c r="M69">
        <v>12.1648</v>
      </c>
      <c r="N69">
        <v>2.81874</v>
      </c>
      <c r="O69">
        <v>5.22</v>
      </c>
      <c r="P69">
        <v>0.506361</v>
      </c>
      <c r="Q69">
        <v>0.593539</v>
      </c>
      <c r="R69">
        <v>0.921858</v>
      </c>
      <c r="S69">
        <v>5.66248</v>
      </c>
      <c r="T69">
        <v>5.22</v>
      </c>
      <c r="U69">
        <v>10.3088</v>
      </c>
      <c r="V69">
        <v>1.82055</v>
      </c>
      <c r="W69">
        <v>13.7742</v>
      </c>
      <c r="X69">
        <v>3.05574</v>
      </c>
      <c r="Y69">
        <v>0.51456</v>
      </c>
      <c r="Z69">
        <v>0.0890973</v>
      </c>
      <c r="AA69">
        <v>0.0024771</v>
      </c>
      <c r="AB69">
        <v>0.102054</v>
      </c>
      <c r="AC69">
        <v>5.04206</v>
      </c>
      <c r="AD69">
        <v>0.51456</v>
      </c>
      <c r="AE69">
        <v>5.77526</v>
      </c>
      <c r="AF69">
        <v>1.14542</v>
      </c>
      <c r="AG69">
        <v>25.8092</v>
      </c>
      <c r="AH69">
        <v>3.55507</v>
      </c>
      <c r="AI69">
        <v>0.43244</v>
      </c>
      <c r="AJ69">
        <v>0.0449449</v>
      </c>
      <c r="AK69">
        <v>0.00256338</v>
      </c>
      <c r="AL69">
        <v>0.0676972</v>
      </c>
      <c r="AM69">
        <v>6.38785</v>
      </c>
      <c r="AN69">
        <v>0.43244</v>
      </c>
      <c r="AO69">
        <v>9.49934</v>
      </c>
      <c r="AP69">
        <v>1.48709</v>
      </c>
      <c r="AQ69">
        <v>23.9095</v>
      </c>
      <c r="AR69">
        <v>3.47045</v>
      </c>
      <c r="AS69">
        <f t="shared" si="4"/>
        <v>10.2975940609453</v>
      </c>
      <c r="AT69">
        <f t="shared" si="5"/>
        <v>12.0710387568218</v>
      </c>
      <c r="AU69">
        <f t="shared" si="6"/>
        <v>0.0787300000000002</v>
      </c>
      <c r="AV69">
        <v>3.58484e-6</v>
      </c>
      <c r="AW69">
        <v>2.34473e-6</v>
      </c>
      <c r="AX69">
        <v>4.45576e-7</v>
      </c>
      <c r="AY69">
        <v>2.24769e-7</v>
      </c>
      <c r="AZ69">
        <v>1329330</v>
      </c>
      <c r="BA69">
        <v>-1260000</v>
      </c>
      <c r="BB69">
        <v>1833670</v>
      </c>
      <c r="BC69">
        <v>-43.6667</v>
      </c>
      <c r="BD69">
        <v>894190</v>
      </c>
      <c r="BE69">
        <f t="shared" si="7"/>
        <v>5.95142980871128</v>
      </c>
      <c r="BF69">
        <v>9.3305e-10</v>
      </c>
      <c r="BG69">
        <v>-9.03009508278912</v>
      </c>
      <c r="BH69">
        <v>0.84727</v>
      </c>
      <c r="BI69">
        <v>3135</v>
      </c>
      <c r="BJ69">
        <v>2361100</v>
      </c>
      <c r="BK69">
        <v>6.37311438120346</v>
      </c>
      <c r="BL69">
        <v>5.6264e-10</v>
      </c>
      <c r="BM69">
        <v>-10.3239651888054</v>
      </c>
    </row>
    <row r="70" spans="1:65">
      <c r="A70">
        <v>68</v>
      </c>
      <c r="B70">
        <v>18</v>
      </c>
      <c r="C70" t="s">
        <v>65</v>
      </c>
      <c r="D70">
        <v>0</v>
      </c>
      <c r="E70">
        <v>5.581</v>
      </c>
      <c r="F70">
        <v>0.448057</v>
      </c>
      <c r="G70">
        <v>0.704653</v>
      </c>
      <c r="H70">
        <v>0.951455</v>
      </c>
      <c r="I70">
        <v>5.86575</v>
      </c>
      <c r="J70">
        <v>5.581</v>
      </c>
      <c r="K70">
        <v>12.4269</v>
      </c>
      <c r="L70">
        <v>2.11856</v>
      </c>
      <c r="M70">
        <v>14.4958</v>
      </c>
      <c r="N70">
        <v>3.2087</v>
      </c>
      <c r="O70">
        <v>5.87</v>
      </c>
      <c r="P70">
        <v>0.514961</v>
      </c>
      <c r="Q70">
        <v>0.782536</v>
      </c>
      <c r="R70">
        <v>1.02351</v>
      </c>
      <c r="S70">
        <v>5.73519</v>
      </c>
      <c r="T70">
        <v>5.87</v>
      </c>
      <c r="U70">
        <v>11.3977</v>
      </c>
      <c r="V70">
        <v>1.98734</v>
      </c>
      <c r="W70">
        <v>14.0731</v>
      </c>
      <c r="X70">
        <v>3.13703</v>
      </c>
      <c r="Y70">
        <v>0.40348</v>
      </c>
      <c r="Z70">
        <v>0.00663824</v>
      </c>
      <c r="AA70">
        <v>0.00192476</v>
      </c>
      <c r="AB70">
        <v>0.0443671</v>
      </c>
      <c r="AC70">
        <v>9.09412</v>
      </c>
      <c r="AD70">
        <v>0.40348</v>
      </c>
      <c r="AE70">
        <v>20.0205</v>
      </c>
      <c r="AF70">
        <v>2.20148</v>
      </c>
      <c r="AG70">
        <v>33.9111</v>
      </c>
      <c r="AH70">
        <v>4.39429</v>
      </c>
      <c r="AI70">
        <v>0.34592</v>
      </c>
      <c r="AJ70">
        <v>0.0108931</v>
      </c>
      <c r="AK70">
        <v>0.00193692</v>
      </c>
      <c r="AL70">
        <v>0.0453343</v>
      </c>
      <c r="AM70">
        <v>7.63043</v>
      </c>
      <c r="AN70">
        <v>0.34592</v>
      </c>
      <c r="AO70">
        <v>14.651</v>
      </c>
      <c r="AP70">
        <v>1.92007</v>
      </c>
      <c r="AQ70">
        <v>23.3862</v>
      </c>
      <c r="AR70">
        <v>3.41652</v>
      </c>
      <c r="AS70">
        <f t="shared" si="4"/>
        <v>13.832160206206</v>
      </c>
      <c r="AT70">
        <f t="shared" si="5"/>
        <v>16.9692414431082</v>
      </c>
      <c r="AU70">
        <f t="shared" si="6"/>
        <v>-0.289</v>
      </c>
      <c r="AV70">
        <v>1.33034e-6</v>
      </c>
      <c r="AW70">
        <v>1.5503e-6</v>
      </c>
      <c r="AX70">
        <v>3.31978e-8</v>
      </c>
      <c r="AY70">
        <v>5.44764e-8</v>
      </c>
      <c r="AZ70">
        <v>2014330</v>
      </c>
      <c r="BA70">
        <v>-2272000</v>
      </c>
      <c r="BB70">
        <v>3039330</v>
      </c>
      <c r="BC70">
        <v>-48.6667</v>
      </c>
      <c r="BD70">
        <v>4917000</v>
      </c>
      <c r="BE70">
        <f t="shared" si="7"/>
        <v>6.69170020829016</v>
      </c>
      <c r="BF70">
        <v>5.5282e-10</v>
      </c>
      <c r="BG70">
        <v>-9.25741625338256</v>
      </c>
      <c r="BH70">
        <v>0.85178</v>
      </c>
      <c r="BI70">
        <v>6545</v>
      </c>
      <c r="BJ70">
        <v>18603000</v>
      </c>
      <c r="BK70">
        <v>7.26958298606661</v>
      </c>
      <c r="BL70">
        <v>2.0564e-9</v>
      </c>
      <c r="BM70">
        <v>-9.68668126450141</v>
      </c>
    </row>
    <row r="71" spans="1:65">
      <c r="A71">
        <v>69</v>
      </c>
      <c r="B71">
        <v>18</v>
      </c>
      <c r="C71" t="s">
        <v>66</v>
      </c>
      <c r="D71">
        <v>1</v>
      </c>
      <c r="E71">
        <v>6.549</v>
      </c>
      <c r="F71">
        <v>0.635649</v>
      </c>
      <c r="G71">
        <v>1.16579</v>
      </c>
      <c r="H71">
        <v>1.25284</v>
      </c>
      <c r="I71">
        <v>5.22733</v>
      </c>
      <c r="J71">
        <v>6.549</v>
      </c>
      <c r="K71">
        <v>9.86363</v>
      </c>
      <c r="L71">
        <v>1.88693</v>
      </c>
      <c r="M71">
        <v>10.1259</v>
      </c>
      <c r="N71">
        <v>2.5208</v>
      </c>
      <c r="O71">
        <v>6.327</v>
      </c>
      <c r="P71">
        <v>0.709253</v>
      </c>
      <c r="Q71">
        <v>0.859368</v>
      </c>
      <c r="R71">
        <v>1.16715</v>
      </c>
      <c r="S71">
        <v>5.4209</v>
      </c>
      <c r="T71">
        <v>6.327</v>
      </c>
      <c r="U71">
        <v>8.92066</v>
      </c>
      <c r="V71">
        <v>1.6456</v>
      </c>
      <c r="W71">
        <v>14.0686</v>
      </c>
      <c r="X71">
        <v>3.14436</v>
      </c>
      <c r="Y71">
        <v>0.35476</v>
      </c>
      <c r="Z71">
        <v>0.0152969</v>
      </c>
      <c r="AA71">
        <v>0.00188449</v>
      </c>
      <c r="AB71">
        <v>0.0460229</v>
      </c>
      <c r="AC71">
        <v>7.70834</v>
      </c>
      <c r="AD71">
        <v>0.35476</v>
      </c>
      <c r="AE71">
        <v>13.8764</v>
      </c>
      <c r="AF71">
        <v>1.80018</v>
      </c>
      <c r="AG71">
        <v>20.5419</v>
      </c>
      <c r="AH71">
        <v>3.0975</v>
      </c>
      <c r="AI71">
        <v>0.3544</v>
      </c>
      <c r="AJ71">
        <v>0.0182449</v>
      </c>
      <c r="AK71">
        <v>0.0021594</v>
      </c>
      <c r="AL71">
        <v>0.0499183</v>
      </c>
      <c r="AM71">
        <v>7.09959</v>
      </c>
      <c r="AN71">
        <v>0.3544</v>
      </c>
      <c r="AO71">
        <v>12.3653</v>
      </c>
      <c r="AP71">
        <v>1.7417</v>
      </c>
      <c r="AQ71">
        <v>17.5136</v>
      </c>
      <c r="AR71">
        <v>2.79867</v>
      </c>
      <c r="AS71">
        <f t="shared" si="4"/>
        <v>18.4603675724433</v>
      </c>
      <c r="AT71">
        <f t="shared" si="5"/>
        <v>17.8527088036117</v>
      </c>
      <c r="AU71">
        <f t="shared" si="6"/>
        <v>0.222</v>
      </c>
      <c r="AV71">
        <v>2.10504e-6</v>
      </c>
      <c r="AW71">
        <v>2.20791e-6</v>
      </c>
      <c r="AX71">
        <v>7.65e-8</v>
      </c>
      <c r="AY71">
        <v>9.12428e-8</v>
      </c>
      <c r="AZ71">
        <v>1915670</v>
      </c>
      <c r="BA71">
        <v>-1882670</v>
      </c>
      <c r="BB71">
        <v>2688000</v>
      </c>
      <c r="BC71">
        <v>-44.7</v>
      </c>
      <c r="BD71">
        <v>2083400</v>
      </c>
      <c r="BE71">
        <f t="shared" si="7"/>
        <v>6.31877265982548</v>
      </c>
      <c r="BF71">
        <v>8.8437e-10</v>
      </c>
      <c r="BG71">
        <v>-9.05336599817772</v>
      </c>
      <c r="BH71">
        <v>0.8426</v>
      </c>
      <c r="BI71">
        <v>6412</v>
      </c>
      <c r="BJ71">
        <v>2193600</v>
      </c>
      <c r="BK71">
        <v>6.34115743744544</v>
      </c>
      <c r="BL71">
        <v>5.5308e-10</v>
      </c>
      <c r="BM71">
        <v>-9.15469726940326</v>
      </c>
    </row>
    <row r="72" spans="1:65">
      <c r="A72">
        <v>70</v>
      </c>
      <c r="B72">
        <v>18</v>
      </c>
      <c r="C72" t="s">
        <v>67</v>
      </c>
      <c r="D72">
        <v>2</v>
      </c>
      <c r="E72">
        <v>5.954</v>
      </c>
      <c r="F72">
        <v>0.539265</v>
      </c>
      <c r="G72">
        <v>0.827911</v>
      </c>
      <c r="H72">
        <v>1.05762</v>
      </c>
      <c r="I72">
        <v>5.62964</v>
      </c>
      <c r="J72">
        <v>5.954</v>
      </c>
      <c r="K72">
        <v>11.0255</v>
      </c>
      <c r="L72">
        <v>1.95848</v>
      </c>
      <c r="M72">
        <v>13.2544</v>
      </c>
      <c r="N72">
        <v>3.01524</v>
      </c>
      <c r="O72">
        <v>5.72553</v>
      </c>
      <c r="P72">
        <v>0.456935</v>
      </c>
      <c r="Q72">
        <v>0.817511</v>
      </c>
      <c r="R72">
        <v>1.01298</v>
      </c>
      <c r="S72">
        <v>5.65214</v>
      </c>
      <c r="T72">
        <v>5.72553</v>
      </c>
      <c r="U72">
        <v>11.8886</v>
      </c>
      <c r="V72">
        <v>2.10338</v>
      </c>
      <c r="W72">
        <v>12.4333</v>
      </c>
      <c r="X72">
        <v>2.89018</v>
      </c>
      <c r="Y72">
        <v>0.35124</v>
      </c>
      <c r="Z72">
        <v>0.0168529</v>
      </c>
      <c r="AA72">
        <v>0.00169685</v>
      </c>
      <c r="AB72">
        <v>0.0445032</v>
      </c>
      <c r="AC72">
        <v>7.89247</v>
      </c>
      <c r="AD72">
        <v>0.35124</v>
      </c>
      <c r="AE72">
        <v>14.8825</v>
      </c>
      <c r="AF72">
        <v>1.88566</v>
      </c>
      <c r="AG72">
        <v>25.976</v>
      </c>
      <c r="AH72">
        <v>3.72876</v>
      </c>
      <c r="AI72">
        <v>0.37784</v>
      </c>
      <c r="AJ72">
        <v>0.0186961</v>
      </c>
      <c r="AK72">
        <v>0.0018942</v>
      </c>
      <c r="AL72">
        <v>0.0473642</v>
      </c>
      <c r="AM72">
        <v>7.97734</v>
      </c>
      <c r="AN72">
        <v>0.37784</v>
      </c>
      <c r="AO72">
        <v>15.3969</v>
      </c>
      <c r="AP72">
        <v>1.93008</v>
      </c>
      <c r="AQ72">
        <v>25.2181</v>
      </c>
      <c r="AR72">
        <v>3.72245</v>
      </c>
      <c r="AS72">
        <f t="shared" si="4"/>
        <v>16.9513722810614</v>
      </c>
      <c r="AT72">
        <f t="shared" si="5"/>
        <v>15.1533188651281</v>
      </c>
      <c r="AU72">
        <f t="shared" si="6"/>
        <v>0.22847</v>
      </c>
      <c r="AV72">
        <v>1.63436e-6</v>
      </c>
      <c r="AW72">
        <v>1.75406e-6</v>
      </c>
      <c r="AX72">
        <v>8.42812e-8</v>
      </c>
      <c r="AY72">
        <v>9.3499e-8</v>
      </c>
      <c r="AZ72">
        <v>2082330</v>
      </c>
      <c r="BA72">
        <v>-2400330</v>
      </c>
      <c r="BB72">
        <v>3179000</v>
      </c>
      <c r="BC72">
        <v>-49.2333</v>
      </c>
      <c r="BD72">
        <v>2676600</v>
      </c>
      <c r="BE72">
        <f t="shared" si="7"/>
        <v>6.42758347362526</v>
      </c>
      <c r="BF72">
        <v>8.7611e-10</v>
      </c>
      <c r="BG72">
        <v>-9.0574413625604</v>
      </c>
      <c r="BH72">
        <v>0.81862</v>
      </c>
      <c r="BI72">
        <v>4368</v>
      </c>
      <c r="BJ72">
        <v>4938500</v>
      </c>
      <c r="BK72">
        <v>6.69359505810462</v>
      </c>
      <c r="BL72">
        <v>4.7753e-10</v>
      </c>
      <c r="BM72">
        <v>-9.86626953337545</v>
      </c>
    </row>
    <row r="73" spans="1:65">
      <c r="A73">
        <v>71</v>
      </c>
      <c r="B73">
        <v>18</v>
      </c>
      <c r="C73" t="s">
        <v>68</v>
      </c>
      <c r="D73">
        <v>3</v>
      </c>
      <c r="E73">
        <v>5.503</v>
      </c>
      <c r="F73">
        <v>0.353649</v>
      </c>
      <c r="G73">
        <v>0.700588</v>
      </c>
      <c r="H73">
        <v>0.908579</v>
      </c>
      <c r="I73">
        <v>6.05671</v>
      </c>
      <c r="J73">
        <v>5.503</v>
      </c>
      <c r="K73">
        <v>14.4663</v>
      </c>
      <c r="L73">
        <v>2.38847</v>
      </c>
      <c r="M73">
        <v>14.9756</v>
      </c>
      <c r="N73">
        <v>3.2855</v>
      </c>
      <c r="O73">
        <v>5.641</v>
      </c>
      <c r="P73">
        <v>0.405434</v>
      </c>
      <c r="Q73">
        <v>0.662578</v>
      </c>
      <c r="R73">
        <v>0.909298</v>
      </c>
      <c r="S73">
        <v>6.20369</v>
      </c>
      <c r="T73">
        <v>5.641</v>
      </c>
      <c r="U73">
        <v>13.7646</v>
      </c>
      <c r="V73">
        <v>2.21877</v>
      </c>
      <c r="W73">
        <v>16.4529</v>
      </c>
      <c r="X73">
        <v>3.44826</v>
      </c>
      <c r="Y73">
        <v>0.34636</v>
      </c>
      <c r="Z73">
        <v>-0.00650333</v>
      </c>
      <c r="AA73">
        <v>0.00194442</v>
      </c>
      <c r="AB73">
        <v>0.0445682</v>
      </c>
      <c r="AC73">
        <v>7.77146</v>
      </c>
      <c r="AD73">
        <v>0.34636</v>
      </c>
      <c r="AE73">
        <v>13.4556</v>
      </c>
      <c r="AF73">
        <v>1.73141</v>
      </c>
      <c r="AG73">
        <v>21.2003</v>
      </c>
      <c r="AH73">
        <v>2.94047</v>
      </c>
      <c r="AI73">
        <v>0.39708</v>
      </c>
      <c r="AJ73">
        <v>0.0122882</v>
      </c>
      <c r="AK73">
        <v>0.0020364</v>
      </c>
      <c r="AL73">
        <v>0.0467653</v>
      </c>
      <c r="AM73">
        <v>8.49091</v>
      </c>
      <c r="AN73">
        <v>0.39708</v>
      </c>
      <c r="AO73">
        <v>17.4986</v>
      </c>
      <c r="AP73">
        <v>2.06086</v>
      </c>
      <c r="AQ73">
        <v>27.8506</v>
      </c>
      <c r="AR73">
        <v>3.98506</v>
      </c>
      <c r="AS73">
        <f t="shared" si="4"/>
        <v>15.8880933133156</v>
      </c>
      <c r="AT73">
        <f t="shared" si="5"/>
        <v>14.2062052986804</v>
      </c>
      <c r="AU73">
        <f t="shared" si="6"/>
        <v>-0.138</v>
      </c>
      <c r="AV73">
        <v>1.11071e-6</v>
      </c>
      <c r="AW73">
        <v>1.49297e-6</v>
      </c>
      <c r="AX73">
        <v>-3.25232e-8</v>
      </c>
      <c r="AY73">
        <v>6.14532e-8</v>
      </c>
      <c r="AZ73">
        <v>1511000</v>
      </c>
      <c r="BA73">
        <v>-1107000</v>
      </c>
      <c r="BB73">
        <v>1875330</v>
      </c>
      <c r="BC73">
        <v>-36.3333</v>
      </c>
      <c r="BD73">
        <v>2203000</v>
      </c>
      <c r="BE73">
        <f t="shared" si="7"/>
        <v>6.34301449715077</v>
      </c>
      <c r="BF73">
        <v>4.9939e-10</v>
      </c>
      <c r="BG73">
        <v>-9.30156015839697</v>
      </c>
      <c r="BH73">
        <v>0.88384</v>
      </c>
      <c r="BI73">
        <v>2351</v>
      </c>
      <c r="BJ73">
        <v>5601400</v>
      </c>
      <c r="BK73">
        <v>6.74829658705724</v>
      </c>
      <c r="BL73">
        <v>3.6211e-9</v>
      </c>
      <c r="BM73">
        <v>-8.93096123501393</v>
      </c>
    </row>
    <row r="74" spans="1:65">
      <c r="A74">
        <v>72</v>
      </c>
      <c r="B74">
        <v>19</v>
      </c>
      <c r="C74" t="s">
        <v>65</v>
      </c>
      <c r="D74">
        <v>0</v>
      </c>
      <c r="E74">
        <v>5.906</v>
      </c>
      <c r="F74">
        <v>0.935367</v>
      </c>
      <c r="G74">
        <v>0.884254</v>
      </c>
      <c r="H74">
        <v>1.32627</v>
      </c>
      <c r="I74">
        <v>4.45309</v>
      </c>
      <c r="J74">
        <v>5.906</v>
      </c>
      <c r="K74">
        <v>6.31314</v>
      </c>
      <c r="L74">
        <v>1.4177</v>
      </c>
      <c r="M74">
        <v>9.04879</v>
      </c>
      <c r="N74">
        <v>2.368</v>
      </c>
      <c r="O74">
        <v>5.84</v>
      </c>
      <c r="P74">
        <v>0.733063</v>
      </c>
      <c r="Q74">
        <v>0.883847</v>
      </c>
      <c r="R74">
        <v>1.19208</v>
      </c>
      <c r="S74">
        <v>4.899</v>
      </c>
      <c r="T74">
        <v>5.84</v>
      </c>
      <c r="U74">
        <v>7.96657</v>
      </c>
      <c r="V74">
        <v>1.62616</v>
      </c>
      <c r="W74">
        <v>9.97641</v>
      </c>
      <c r="X74">
        <v>2.48304</v>
      </c>
      <c r="Y74">
        <v>0.3098</v>
      </c>
      <c r="Z74">
        <v>-0.00201453</v>
      </c>
      <c r="AA74">
        <v>0.00175846</v>
      </c>
      <c r="AB74">
        <v>0.0419781</v>
      </c>
      <c r="AC74">
        <v>7.38004</v>
      </c>
      <c r="AD74">
        <v>0.3098</v>
      </c>
      <c r="AE74">
        <v>11.6337</v>
      </c>
      <c r="AF74">
        <v>1.57638</v>
      </c>
      <c r="AG74">
        <v>15.1906</v>
      </c>
      <c r="AH74">
        <v>2.27521</v>
      </c>
      <c r="AI74">
        <v>0.3542</v>
      </c>
      <c r="AJ74">
        <v>-0.0100334</v>
      </c>
      <c r="AK74">
        <v>0.00238429</v>
      </c>
      <c r="AL74">
        <v>0.0498446</v>
      </c>
      <c r="AM74">
        <v>7.10609</v>
      </c>
      <c r="AN74">
        <v>0.3542</v>
      </c>
      <c r="AO74">
        <v>11.0906</v>
      </c>
      <c r="AP74">
        <v>1.56071</v>
      </c>
      <c r="AQ74">
        <v>19.1696</v>
      </c>
      <c r="AR74">
        <v>2.64498</v>
      </c>
      <c r="AS74">
        <f t="shared" si="4"/>
        <v>19.0639122014203</v>
      </c>
      <c r="AT74">
        <f t="shared" si="5"/>
        <v>16.4878599661208</v>
      </c>
      <c r="AU74">
        <f t="shared" si="6"/>
        <v>0.0659999999999998</v>
      </c>
      <c r="AV74">
        <v>1.08137e-6</v>
      </c>
      <c r="AW74">
        <v>1.09981e-6</v>
      </c>
      <c r="AX74">
        <v>-1.00747e-8</v>
      </c>
      <c r="AY74">
        <v>-5.01772e-8</v>
      </c>
      <c r="AZ74">
        <v>1053830</v>
      </c>
      <c r="BA74">
        <v>-838267</v>
      </c>
      <c r="BB74">
        <v>1347670</v>
      </c>
      <c r="BC74">
        <v>-38.7</v>
      </c>
      <c r="BD74">
        <v>1659600</v>
      </c>
      <c r="BE74">
        <f t="shared" si="7"/>
        <v>6.22000342615694</v>
      </c>
      <c r="BF74">
        <v>7.4911e-10</v>
      </c>
      <c r="BG74">
        <v>-9.12545440541753</v>
      </c>
      <c r="BH74">
        <v>0.85542</v>
      </c>
      <c r="BI74">
        <v>5920</v>
      </c>
      <c r="BJ74">
        <v>9644900000000</v>
      </c>
      <c r="BK74">
        <v>12.9842977291626</v>
      </c>
      <c r="BL74">
        <v>6.9112e-10</v>
      </c>
      <c r="BM74">
        <v>-9.67559406619646</v>
      </c>
    </row>
    <row r="75" spans="1:65">
      <c r="A75">
        <v>73</v>
      </c>
      <c r="B75">
        <v>19</v>
      </c>
      <c r="C75" t="s">
        <v>66</v>
      </c>
      <c r="D75">
        <v>1</v>
      </c>
      <c r="E75">
        <v>6.76</v>
      </c>
      <c r="F75">
        <v>1.16203</v>
      </c>
      <c r="G75">
        <v>1.19126</v>
      </c>
      <c r="H75">
        <v>1.59416</v>
      </c>
      <c r="I75">
        <v>4.24049</v>
      </c>
      <c r="J75">
        <v>6.76</v>
      </c>
      <c r="K75">
        <v>5.81742</v>
      </c>
      <c r="L75">
        <v>1.37187</v>
      </c>
      <c r="M75">
        <v>8.14549</v>
      </c>
      <c r="N75">
        <v>2.14159</v>
      </c>
      <c r="O75">
        <v>5.539</v>
      </c>
      <c r="P75">
        <v>0.717113</v>
      </c>
      <c r="Q75">
        <v>0.729414</v>
      </c>
      <c r="R75">
        <v>1.11513</v>
      </c>
      <c r="S75">
        <v>4.96713</v>
      </c>
      <c r="T75">
        <v>5.539</v>
      </c>
      <c r="U75">
        <v>7.72248</v>
      </c>
      <c r="V75">
        <v>1.55472</v>
      </c>
      <c r="W75">
        <v>10.7858</v>
      </c>
      <c r="X75">
        <v>2.64676</v>
      </c>
      <c r="Y75">
        <v>0.38264</v>
      </c>
      <c r="Z75">
        <v>0.0046825</v>
      </c>
      <c r="AA75">
        <v>0.00192515</v>
      </c>
      <c r="AB75">
        <v>0.0441214</v>
      </c>
      <c r="AC75">
        <v>8.67244</v>
      </c>
      <c r="AD75">
        <v>0.38264</v>
      </c>
      <c r="AE75">
        <v>14.1569</v>
      </c>
      <c r="AF75">
        <v>1.6324</v>
      </c>
      <c r="AG75">
        <v>20.6673</v>
      </c>
      <c r="AH75">
        <v>2.82141</v>
      </c>
      <c r="AI75">
        <v>0.35864</v>
      </c>
      <c r="AJ75">
        <v>-0.00423999</v>
      </c>
      <c r="AK75">
        <v>0.00224485</v>
      </c>
      <c r="AL75">
        <v>0.0475645</v>
      </c>
      <c r="AM75">
        <v>7.54008</v>
      </c>
      <c r="AN75">
        <v>0.35864</v>
      </c>
      <c r="AO75">
        <v>12.7773</v>
      </c>
      <c r="AP75">
        <v>1.69459</v>
      </c>
      <c r="AQ75">
        <v>23.3743</v>
      </c>
      <c r="AR75">
        <v>3.19125</v>
      </c>
      <c r="AS75">
        <f t="shared" si="4"/>
        <v>17.6667363579344</v>
      </c>
      <c r="AT75">
        <f t="shared" si="5"/>
        <v>15.4444568369395</v>
      </c>
      <c r="AU75">
        <f t="shared" si="6"/>
        <v>1.221</v>
      </c>
      <c r="AV75">
        <v>1.77818e-6</v>
      </c>
      <c r="AW75">
        <v>1.07983e-6</v>
      </c>
      <c r="AX75">
        <v>2.34172e-8</v>
      </c>
      <c r="AY75">
        <v>-2.12042e-8</v>
      </c>
      <c r="AZ75">
        <v>1273000</v>
      </c>
      <c r="BA75">
        <v>-1552330</v>
      </c>
      <c r="BB75">
        <v>2008330</v>
      </c>
      <c r="BC75">
        <v>-50.8333</v>
      </c>
      <c r="BD75">
        <v>1572900</v>
      </c>
      <c r="BE75">
        <f t="shared" si="7"/>
        <v>6.19670111243339</v>
      </c>
      <c r="BF75">
        <v>1.0149e-9</v>
      </c>
      <c r="BG75">
        <v>-8.99357674749236</v>
      </c>
      <c r="BH75">
        <v>0.83719</v>
      </c>
      <c r="BI75">
        <v>3950</v>
      </c>
      <c r="BJ75">
        <v>4211000</v>
      </c>
      <c r="BK75">
        <v>6.62438524142027</v>
      </c>
      <c r="BL75">
        <v>6.7125e-10</v>
      </c>
      <c r="BM75">
        <v>-9.84991931376651</v>
      </c>
    </row>
    <row r="76" spans="1:65">
      <c r="A76">
        <v>74</v>
      </c>
      <c r="B76">
        <v>19</v>
      </c>
      <c r="C76" t="s">
        <v>67</v>
      </c>
      <c r="D76">
        <v>2</v>
      </c>
      <c r="E76">
        <v>6.038</v>
      </c>
      <c r="F76">
        <v>1.01955</v>
      </c>
      <c r="G76">
        <v>0.90301</v>
      </c>
      <c r="H76">
        <v>1.39367</v>
      </c>
      <c r="I76">
        <v>4.33244</v>
      </c>
      <c r="J76">
        <v>6.038</v>
      </c>
      <c r="K76">
        <v>5.9222</v>
      </c>
      <c r="L76">
        <v>1.36694</v>
      </c>
      <c r="M76">
        <v>9.40024</v>
      </c>
      <c r="N76">
        <v>2.44575</v>
      </c>
      <c r="O76">
        <v>5.581</v>
      </c>
      <c r="P76">
        <v>0.474833</v>
      </c>
      <c r="Q76">
        <v>0.808125</v>
      </c>
      <c r="R76">
        <v>1.01658</v>
      </c>
      <c r="S76">
        <v>5.48999</v>
      </c>
      <c r="T76">
        <v>5.581</v>
      </c>
      <c r="U76">
        <v>11.2438</v>
      </c>
      <c r="V76">
        <v>2.04806</v>
      </c>
      <c r="W76">
        <v>11.4889</v>
      </c>
      <c r="X76">
        <v>2.75892</v>
      </c>
      <c r="Y76">
        <v>0.33908</v>
      </c>
      <c r="Z76">
        <v>-0.0138977</v>
      </c>
      <c r="AA76">
        <v>0.0020851</v>
      </c>
      <c r="AB76">
        <v>0.0477267</v>
      </c>
      <c r="AC76">
        <v>7.10462</v>
      </c>
      <c r="AD76">
        <v>0.33908</v>
      </c>
      <c r="AE76">
        <v>10.5583</v>
      </c>
      <c r="AF76">
        <v>1.48612</v>
      </c>
      <c r="AG76">
        <v>17.7377</v>
      </c>
      <c r="AH76">
        <v>2.48958</v>
      </c>
      <c r="AI76">
        <v>0.33936</v>
      </c>
      <c r="AJ76">
        <v>-0.0495134</v>
      </c>
      <c r="AK76">
        <v>0.00300839</v>
      </c>
      <c r="AL76">
        <v>0.0738875</v>
      </c>
      <c r="AM76">
        <v>4.59293</v>
      </c>
      <c r="AN76">
        <v>0.33936</v>
      </c>
      <c r="AO76">
        <v>5.38198</v>
      </c>
      <c r="AP76">
        <v>1.1718</v>
      </c>
      <c r="AQ76">
        <v>16.3714</v>
      </c>
      <c r="AR76">
        <v>2.75729</v>
      </c>
      <c r="AS76">
        <f t="shared" si="4"/>
        <v>17.807007195942</v>
      </c>
      <c r="AT76">
        <f t="shared" si="5"/>
        <v>16.4456624233852</v>
      </c>
      <c r="AU76">
        <f t="shared" si="6"/>
        <v>0.457</v>
      </c>
      <c r="AV76">
        <v>4.83999e-7</v>
      </c>
      <c r="AW76">
        <v>6.52439e-7</v>
      </c>
      <c r="AX76">
        <v>-6.95026e-8</v>
      </c>
      <c r="AY76">
        <v>-2.47616e-7</v>
      </c>
      <c r="AZ76">
        <v>1339000</v>
      </c>
      <c r="BA76">
        <v>-1707330</v>
      </c>
      <c r="BB76">
        <v>2173670</v>
      </c>
      <c r="BC76">
        <v>-52.1333</v>
      </c>
      <c r="BD76">
        <v>3082600</v>
      </c>
      <c r="BE76">
        <f t="shared" si="7"/>
        <v>6.48891717407353</v>
      </c>
      <c r="BF76">
        <v>5.8795e-10</v>
      </c>
      <c r="BG76">
        <v>-9.23065960529698</v>
      </c>
      <c r="BH76">
        <v>0.90091</v>
      </c>
      <c r="BI76">
        <v>3704</v>
      </c>
      <c r="BJ76">
        <v>3159200</v>
      </c>
      <c r="BK76">
        <v>6.49957712072849</v>
      </c>
      <c r="BL76">
        <v>1.8365e-9</v>
      </c>
      <c r="BM76">
        <v>-8.67720203165361</v>
      </c>
    </row>
    <row r="77" spans="1:65">
      <c r="A77">
        <v>75</v>
      </c>
      <c r="B77">
        <v>19</v>
      </c>
      <c r="C77" t="s">
        <v>68</v>
      </c>
      <c r="D77">
        <v>3</v>
      </c>
      <c r="E77" s="1">
        <v>6.122</v>
      </c>
      <c r="F77">
        <v>0.70626</v>
      </c>
      <c r="G77">
        <v>1.15977</v>
      </c>
      <c r="H77">
        <v>1.28777</v>
      </c>
      <c r="I77">
        <v>4.75396</v>
      </c>
      <c r="J77">
        <v>6.122</v>
      </c>
      <c r="K77">
        <v>8.21549</v>
      </c>
      <c r="L77">
        <v>1.72813</v>
      </c>
      <c r="M77">
        <v>8.21566</v>
      </c>
      <c r="N77">
        <v>2.18355</v>
      </c>
      <c r="O77">
        <v>5.79193</v>
      </c>
      <c r="P77">
        <v>0.815279</v>
      </c>
      <c r="Q77">
        <v>0.772557</v>
      </c>
      <c r="R77">
        <v>1.19878</v>
      </c>
      <c r="S77">
        <v>4.83151</v>
      </c>
      <c r="T77">
        <v>5.79193</v>
      </c>
      <c r="U77">
        <v>7.10424</v>
      </c>
      <c r="V77">
        <v>1.4704</v>
      </c>
      <c r="W77">
        <v>11.5133</v>
      </c>
      <c r="X77">
        <v>2.78004</v>
      </c>
      <c r="Y77">
        <v>0.42176</v>
      </c>
      <c r="Z77">
        <v>0.00986994</v>
      </c>
      <c r="AA77">
        <v>0.0024897</v>
      </c>
      <c r="AB77">
        <v>0.0508588</v>
      </c>
      <c r="AC77">
        <v>8.29276</v>
      </c>
      <c r="AD77">
        <v>0.42176</v>
      </c>
      <c r="AE77">
        <v>13.6961</v>
      </c>
      <c r="AF77">
        <v>1.65158</v>
      </c>
      <c r="AG77">
        <v>18.0019</v>
      </c>
      <c r="AH77">
        <v>2.58471</v>
      </c>
      <c r="AI77">
        <v>0.34904</v>
      </c>
      <c r="AJ77">
        <v>0.00961346</v>
      </c>
      <c r="AK77">
        <v>0.00187773</v>
      </c>
      <c r="AL77">
        <v>0.0443821</v>
      </c>
      <c r="AM77">
        <v>7.86443</v>
      </c>
      <c r="AN77">
        <v>0.34904</v>
      </c>
      <c r="AO77">
        <v>14.3235</v>
      </c>
      <c r="AP77">
        <v>1.8213</v>
      </c>
      <c r="AQ77">
        <v>23.6203</v>
      </c>
      <c r="AR77">
        <v>3.37466</v>
      </c>
      <c r="AS77">
        <f t="shared" si="4"/>
        <v>14.5153641881639</v>
      </c>
      <c r="AT77">
        <f t="shared" si="5"/>
        <v>16.5938860875544</v>
      </c>
      <c r="AU77">
        <f t="shared" si="6"/>
        <v>0.33007</v>
      </c>
      <c r="AV77">
        <v>2.16442e-6</v>
      </c>
      <c r="AW77">
        <v>1.59665e-6</v>
      </c>
      <c r="AX77">
        <v>4.93596e-8</v>
      </c>
      <c r="AY77">
        <v>4.80769e-8</v>
      </c>
      <c r="AZ77">
        <v>1794330</v>
      </c>
      <c r="BA77">
        <v>-2124670</v>
      </c>
      <c r="BB77">
        <v>2782670</v>
      </c>
      <c r="BC77">
        <v>-49.9667</v>
      </c>
      <c r="BD77">
        <v>1855600</v>
      </c>
      <c r="BE77">
        <f t="shared" si="7"/>
        <v>6.26848436384672</v>
      </c>
      <c r="BF77">
        <v>8.6573e-10</v>
      </c>
      <c r="BG77">
        <v>-9.06261753268635</v>
      </c>
      <c r="BH77">
        <v>0.85625</v>
      </c>
      <c r="BI77">
        <v>4714</v>
      </c>
      <c r="BJ77">
        <v>3819400</v>
      </c>
      <c r="BK77">
        <v>6.58199514376107</v>
      </c>
      <c r="BL77">
        <v>4.6611e-10</v>
      </c>
      <c r="BM77">
        <v>-9.87533278230139</v>
      </c>
    </row>
    <row r="78" spans="1:65">
      <c r="A78">
        <v>76</v>
      </c>
      <c r="B78">
        <v>20</v>
      </c>
      <c r="C78" t="s">
        <v>65</v>
      </c>
      <c r="D78">
        <v>0</v>
      </c>
      <c r="E78" s="1">
        <v>7.187</v>
      </c>
      <c r="F78">
        <v>1.11218</v>
      </c>
      <c r="G78">
        <v>1.40292</v>
      </c>
      <c r="H78">
        <v>1.62468</v>
      </c>
      <c r="I78">
        <v>4.42364</v>
      </c>
      <c r="J78">
        <v>7.187</v>
      </c>
      <c r="K78">
        <v>6.46208</v>
      </c>
      <c r="L78">
        <v>1.46081</v>
      </c>
      <c r="M78">
        <v>8.56216</v>
      </c>
      <c r="N78">
        <v>2.23736</v>
      </c>
      <c r="O78">
        <v>6.65173</v>
      </c>
      <c r="P78">
        <v>0.926978</v>
      </c>
      <c r="Q78">
        <v>0.892302</v>
      </c>
      <c r="R78">
        <v>1.32341</v>
      </c>
      <c r="S78">
        <v>5.02621</v>
      </c>
      <c r="T78">
        <v>6.65173</v>
      </c>
      <c r="U78">
        <v>7.17572</v>
      </c>
      <c r="V78">
        <v>1.42766</v>
      </c>
      <c r="W78">
        <v>13.6766</v>
      </c>
      <c r="X78">
        <v>3.05127</v>
      </c>
      <c r="Y78">
        <v>0.31832</v>
      </c>
      <c r="Z78">
        <v>0.00937955</v>
      </c>
      <c r="AA78">
        <v>0.00211382</v>
      </c>
      <c r="AB78">
        <v>0.0469188</v>
      </c>
      <c r="AC78">
        <v>6.78449</v>
      </c>
      <c r="AD78">
        <v>0.31832</v>
      </c>
      <c r="AE78">
        <v>10.5452</v>
      </c>
      <c r="AF78">
        <v>1.55431</v>
      </c>
      <c r="AG78">
        <v>13.6033</v>
      </c>
      <c r="AH78">
        <v>1.92875</v>
      </c>
      <c r="AI78">
        <v>0.35868</v>
      </c>
      <c r="AJ78">
        <v>0.0160509</v>
      </c>
      <c r="AK78">
        <v>0.00182992</v>
      </c>
      <c r="AL78">
        <v>0.0456857</v>
      </c>
      <c r="AM78">
        <v>7.85103</v>
      </c>
      <c r="AN78">
        <v>0.35868</v>
      </c>
      <c r="AO78">
        <v>13.4959</v>
      </c>
      <c r="AP78">
        <v>1.719</v>
      </c>
      <c r="AQ78">
        <v>20.0123</v>
      </c>
      <c r="AR78">
        <v>2.97559</v>
      </c>
      <c r="AS78">
        <f t="shared" si="4"/>
        <v>22.5779090223674</v>
      </c>
      <c r="AT78">
        <f t="shared" si="5"/>
        <v>18.5450262072042</v>
      </c>
      <c r="AU78">
        <f t="shared" si="6"/>
        <v>0.535270000000001</v>
      </c>
      <c r="AV78">
        <v>2.34781e-6</v>
      </c>
      <c r="AW78">
        <v>2.17813e-6</v>
      </c>
      <c r="AX78">
        <v>4.69071e-8</v>
      </c>
      <c r="AY78">
        <v>8.02707e-8</v>
      </c>
      <c r="AZ78">
        <v>2186000</v>
      </c>
      <c r="BA78">
        <v>-2575670</v>
      </c>
      <c r="BB78">
        <v>3381000</v>
      </c>
      <c r="BC78">
        <v>-49.9333</v>
      </c>
      <c r="BD78">
        <v>5389300</v>
      </c>
      <c r="BE78">
        <f t="shared" si="7"/>
        <v>6.73153235964319</v>
      </c>
      <c r="BF78">
        <v>4.9226e-10</v>
      </c>
      <c r="BG78">
        <v>-9.30780545263889</v>
      </c>
      <c r="BH78">
        <v>0.85705</v>
      </c>
      <c r="BI78">
        <v>5297</v>
      </c>
      <c r="BJ78">
        <v>13969000</v>
      </c>
      <c r="BK78">
        <v>7.14516531735065</v>
      </c>
      <c r="BL78">
        <v>1.5398e-9</v>
      </c>
      <c r="BM78">
        <v>-9.44729529008652</v>
      </c>
    </row>
    <row r="79" spans="1:65">
      <c r="A79">
        <v>77</v>
      </c>
      <c r="B79">
        <v>20</v>
      </c>
      <c r="C79" t="s">
        <v>66</v>
      </c>
      <c r="D79">
        <v>1</v>
      </c>
      <c r="E79">
        <v>6.567</v>
      </c>
      <c r="F79">
        <v>1.23236</v>
      </c>
      <c r="G79">
        <v>1.08507</v>
      </c>
      <c r="H79">
        <v>1.61356</v>
      </c>
      <c r="I79">
        <v>4.06989</v>
      </c>
      <c r="J79">
        <v>6.567</v>
      </c>
      <c r="K79">
        <v>5.32879</v>
      </c>
      <c r="L79">
        <v>1.30932</v>
      </c>
      <c r="M79">
        <v>8.26227</v>
      </c>
      <c r="N79">
        <v>2.17878</v>
      </c>
      <c r="O79">
        <v>6.20073</v>
      </c>
      <c r="P79">
        <v>0.694969</v>
      </c>
      <c r="Q79">
        <v>1.05707</v>
      </c>
      <c r="R79">
        <v>1.2409</v>
      </c>
      <c r="S79">
        <v>4.99695</v>
      </c>
      <c r="T79">
        <v>6.20073</v>
      </c>
      <c r="U79">
        <v>8.77397</v>
      </c>
      <c r="V79">
        <v>1.75586</v>
      </c>
      <c r="W79">
        <v>9.50737</v>
      </c>
      <c r="X79">
        <v>2.40245</v>
      </c>
      <c r="Y79">
        <v>0.34892</v>
      </c>
      <c r="Z79">
        <v>-0.00314905</v>
      </c>
      <c r="AA79">
        <v>0.0023137</v>
      </c>
      <c r="AB79">
        <v>0.0481991</v>
      </c>
      <c r="AC79">
        <v>7.23913</v>
      </c>
      <c r="AD79">
        <v>0.34892</v>
      </c>
      <c r="AE79">
        <v>10.9277</v>
      </c>
      <c r="AF79">
        <v>1.50953</v>
      </c>
      <c r="AG79">
        <v>16.4722</v>
      </c>
      <c r="AH79">
        <v>2.26051</v>
      </c>
      <c r="AI79">
        <v>0.34888</v>
      </c>
      <c r="AJ79">
        <v>-0.0238563</v>
      </c>
      <c r="AK79">
        <v>0.00284459</v>
      </c>
      <c r="AL79">
        <v>0.0584221</v>
      </c>
      <c r="AM79">
        <v>5.97171</v>
      </c>
      <c r="AN79">
        <v>0.34888</v>
      </c>
      <c r="AO79">
        <v>7.971</v>
      </c>
      <c r="AP79">
        <v>1.33479</v>
      </c>
      <c r="AQ79">
        <v>11.5556</v>
      </c>
      <c r="AR79">
        <v>1.89029</v>
      </c>
      <c r="AS79">
        <f t="shared" si="4"/>
        <v>18.8209331651955</v>
      </c>
      <c r="AT79">
        <f t="shared" si="5"/>
        <v>17.77324581518</v>
      </c>
      <c r="AU79">
        <f t="shared" si="6"/>
        <v>0.36627</v>
      </c>
      <c r="AV79">
        <v>1.33146e-6</v>
      </c>
      <c r="AW79">
        <v>1.22197e-6</v>
      </c>
      <c r="AX79">
        <v>-1.57484e-8</v>
      </c>
      <c r="AY79">
        <v>-1.19306e-7</v>
      </c>
      <c r="AZ79">
        <v>1845670</v>
      </c>
      <c r="BA79">
        <v>-2146000</v>
      </c>
      <c r="BB79">
        <v>2833670</v>
      </c>
      <c r="BC79">
        <v>-49.5667</v>
      </c>
      <c r="BD79">
        <v>1821600</v>
      </c>
      <c r="BE79">
        <f t="shared" si="7"/>
        <v>6.26045301760709</v>
      </c>
      <c r="BF79">
        <v>1.0344e-9</v>
      </c>
      <c r="BG79">
        <v>-8.98531148812766</v>
      </c>
      <c r="BH79">
        <v>0.82525</v>
      </c>
      <c r="BI79">
        <v>5325</v>
      </c>
      <c r="BJ79">
        <v>4449700</v>
      </c>
      <c r="BK79">
        <v>6.6483307317143</v>
      </c>
      <c r="BL79">
        <v>4.2043e-10</v>
      </c>
      <c r="BM79">
        <v>-10.2385608298497</v>
      </c>
    </row>
    <row r="80" spans="1:65">
      <c r="A80">
        <v>78</v>
      </c>
      <c r="B80">
        <v>20</v>
      </c>
      <c r="C80" t="s">
        <v>67</v>
      </c>
      <c r="D80">
        <v>2</v>
      </c>
      <c r="E80" s="1">
        <v>8.77487</v>
      </c>
      <c r="F80">
        <v>1.36378</v>
      </c>
      <c r="G80">
        <v>2.35725</v>
      </c>
      <c r="H80">
        <v>2.05346</v>
      </c>
      <c r="I80">
        <v>4.27322</v>
      </c>
      <c r="J80">
        <v>8.77487</v>
      </c>
      <c r="K80">
        <v>6.4342</v>
      </c>
      <c r="L80">
        <v>1.5057</v>
      </c>
      <c r="M80">
        <v>7.40109</v>
      </c>
      <c r="N80">
        <v>2.04875</v>
      </c>
      <c r="O80">
        <v>7.259</v>
      </c>
      <c r="P80">
        <v>0.81925</v>
      </c>
      <c r="Q80">
        <v>1.42039</v>
      </c>
      <c r="R80">
        <v>1.44612</v>
      </c>
      <c r="S80">
        <v>5.01962</v>
      </c>
      <c r="T80">
        <v>7.259</v>
      </c>
      <c r="U80">
        <v>8.81225</v>
      </c>
      <c r="V80">
        <v>1.75556</v>
      </c>
      <c r="W80">
        <v>10.0144</v>
      </c>
      <c r="X80">
        <v>2.47262</v>
      </c>
      <c r="Y80">
        <v>0.23288</v>
      </c>
      <c r="Z80">
        <v>0.000456589</v>
      </c>
      <c r="AA80">
        <v>0.00241862</v>
      </c>
      <c r="AB80">
        <v>0.0491767</v>
      </c>
      <c r="AC80">
        <v>4.73558</v>
      </c>
      <c r="AD80">
        <v>0.23288</v>
      </c>
      <c r="AE80">
        <v>6.48068</v>
      </c>
      <c r="AF80">
        <v>1.36851</v>
      </c>
      <c r="AG80">
        <v>5.35448</v>
      </c>
      <c r="AH80">
        <v>0.88531</v>
      </c>
      <c r="AI80">
        <v>0.36448</v>
      </c>
      <c r="AJ80">
        <v>-0.0136478</v>
      </c>
      <c r="AK80">
        <v>0.00313921</v>
      </c>
      <c r="AL80">
        <v>0.0576615</v>
      </c>
      <c r="AM80">
        <v>6.32103</v>
      </c>
      <c r="AN80">
        <v>0.36448</v>
      </c>
      <c r="AO80">
        <v>8.68075</v>
      </c>
      <c r="AP80">
        <v>1.37331</v>
      </c>
      <c r="AQ80">
        <v>9.94328</v>
      </c>
      <c r="AR80">
        <v>1.67992</v>
      </c>
      <c r="AS80">
        <f t="shared" si="4"/>
        <v>37.67979216764</v>
      </c>
      <c r="AT80">
        <f t="shared" si="5"/>
        <v>19.9160447761194</v>
      </c>
      <c r="AU80">
        <f t="shared" si="6"/>
        <v>1.51587</v>
      </c>
      <c r="AV80">
        <v>2.97352e-6</v>
      </c>
      <c r="AW80">
        <v>2.06533e-6</v>
      </c>
      <c r="AX80">
        <v>2.2834e-9</v>
      </c>
      <c r="AY80">
        <v>-6.82524e-8</v>
      </c>
      <c r="AZ80">
        <v>2148670</v>
      </c>
      <c r="BA80">
        <v>-3329670</v>
      </c>
      <c r="BB80">
        <v>3966000</v>
      </c>
      <c r="BC80">
        <v>-57.3667</v>
      </c>
      <c r="BD80">
        <v>2297600</v>
      </c>
      <c r="BE80">
        <f t="shared" si="7"/>
        <v>6.36127442256221</v>
      </c>
      <c r="BF80">
        <v>1.2223e-9</v>
      </c>
      <c r="BG80">
        <v>-8.91282218823884</v>
      </c>
      <c r="BH80">
        <v>0.77359</v>
      </c>
      <c r="BI80">
        <v>6271</v>
      </c>
      <c r="BJ80">
        <v>10521000</v>
      </c>
      <c r="BK80">
        <v>7.02205702060116</v>
      </c>
      <c r="BL80">
        <v>2.5907e-10</v>
      </c>
      <c r="BM80">
        <v>-10.3390871125226</v>
      </c>
    </row>
    <row r="81" spans="1:65">
      <c r="A81">
        <v>79</v>
      </c>
      <c r="B81">
        <v>20</v>
      </c>
      <c r="C81" t="s">
        <v>68</v>
      </c>
      <c r="D81">
        <v>3</v>
      </c>
      <c r="E81">
        <v>6.63353</v>
      </c>
      <c r="F81">
        <v>0.921874</v>
      </c>
      <c r="G81">
        <v>0.979949</v>
      </c>
      <c r="H81">
        <v>1.35263</v>
      </c>
      <c r="I81">
        <v>4.90418</v>
      </c>
      <c r="J81">
        <v>6.63353</v>
      </c>
      <c r="K81">
        <v>7.19571</v>
      </c>
      <c r="L81">
        <v>1.46726</v>
      </c>
      <c r="M81">
        <v>11.5086</v>
      </c>
      <c r="N81">
        <v>2.71996</v>
      </c>
      <c r="O81">
        <v>6.399</v>
      </c>
      <c r="P81">
        <v>0.844049</v>
      </c>
      <c r="Q81">
        <v>0.811003</v>
      </c>
      <c r="R81">
        <v>1.2342</v>
      </c>
      <c r="S81">
        <v>5.18472</v>
      </c>
      <c r="T81">
        <v>6.399</v>
      </c>
      <c r="U81">
        <v>7.58131</v>
      </c>
      <c r="V81">
        <v>1.46224</v>
      </c>
      <c r="W81">
        <v>14.2048</v>
      </c>
      <c r="X81">
        <v>3.12144</v>
      </c>
      <c r="Y81">
        <v>0.347</v>
      </c>
      <c r="Z81">
        <v>0.00108442</v>
      </c>
      <c r="AA81">
        <v>0.00233667</v>
      </c>
      <c r="AB81">
        <v>0.0483465</v>
      </c>
      <c r="AC81">
        <v>7.17736</v>
      </c>
      <c r="AD81">
        <v>0.347</v>
      </c>
      <c r="AE81">
        <v>11.0796</v>
      </c>
      <c r="AF81">
        <v>1.54369</v>
      </c>
      <c r="AG81">
        <v>13.8533</v>
      </c>
      <c r="AH81">
        <v>2.08362</v>
      </c>
      <c r="AI81">
        <v>0.33084</v>
      </c>
      <c r="AJ81">
        <v>-0.00353537</v>
      </c>
      <c r="AK81">
        <v>0.00202936</v>
      </c>
      <c r="AL81">
        <v>0.0451824</v>
      </c>
      <c r="AM81">
        <v>7.32232</v>
      </c>
      <c r="AN81">
        <v>0.33084</v>
      </c>
      <c r="AO81">
        <v>11.859</v>
      </c>
      <c r="AP81">
        <v>1.61958</v>
      </c>
      <c r="AQ81">
        <v>17.8536</v>
      </c>
      <c r="AR81">
        <v>2.51794</v>
      </c>
      <c r="AS81">
        <f t="shared" si="4"/>
        <v>19.1168011527378</v>
      </c>
      <c r="AT81">
        <f t="shared" si="5"/>
        <v>19.341675734494</v>
      </c>
      <c r="AU81">
        <f t="shared" si="6"/>
        <v>0.23453</v>
      </c>
      <c r="AV81">
        <v>1.74017e-6</v>
      </c>
      <c r="AW81">
        <v>1.22031e-6</v>
      </c>
      <c r="AX81">
        <v>5.42316e-9</v>
      </c>
      <c r="AY81">
        <v>-1.76804e-8</v>
      </c>
      <c r="AZ81">
        <v>1934330</v>
      </c>
      <c r="BA81">
        <v>-2769670</v>
      </c>
      <c r="BB81">
        <v>3379670</v>
      </c>
      <c r="BC81">
        <v>-55.2333</v>
      </c>
      <c r="BD81">
        <v>1681600</v>
      </c>
      <c r="BE81">
        <f t="shared" si="7"/>
        <v>6.22572269868417</v>
      </c>
      <c r="BF81">
        <v>1.1408e-9</v>
      </c>
      <c r="BG81">
        <v>-8.94279048749221</v>
      </c>
      <c r="BH81">
        <v>0.80665</v>
      </c>
      <c r="BI81">
        <v>7338</v>
      </c>
      <c r="BJ81">
        <v>7022200</v>
      </c>
      <c r="BK81">
        <v>6.84647319449126</v>
      </c>
      <c r="BL81">
        <v>2.982e-10</v>
      </c>
      <c r="BM81">
        <v>-10.6946056332283</v>
      </c>
    </row>
    <row r="82" spans="1:65">
      <c r="A82">
        <v>80</v>
      </c>
      <c r="B82">
        <v>21</v>
      </c>
      <c r="C82" t="s">
        <v>65</v>
      </c>
      <c r="D82">
        <v>0</v>
      </c>
      <c r="E82">
        <v>4.739</v>
      </c>
      <c r="F82">
        <v>0.471957</v>
      </c>
      <c r="G82">
        <v>0.463894</v>
      </c>
      <c r="H82">
        <v>0.82858</v>
      </c>
      <c r="I82">
        <v>5.71942</v>
      </c>
      <c r="J82">
        <v>4.739</v>
      </c>
      <c r="K82">
        <v>10.0412</v>
      </c>
      <c r="L82">
        <v>1.75563</v>
      </c>
      <c r="M82">
        <v>15.1772</v>
      </c>
      <c r="N82">
        <v>3.26938</v>
      </c>
      <c r="O82">
        <v>4.865</v>
      </c>
      <c r="P82">
        <v>0.536469</v>
      </c>
      <c r="Q82">
        <v>0.485334</v>
      </c>
      <c r="R82">
        <v>0.879225</v>
      </c>
      <c r="S82">
        <v>5.53328</v>
      </c>
      <c r="T82">
        <v>4.865</v>
      </c>
      <c r="U82">
        <v>9.06855</v>
      </c>
      <c r="V82">
        <v>1.63891</v>
      </c>
      <c r="W82">
        <v>14.2125</v>
      </c>
      <c r="X82">
        <v>3.13495</v>
      </c>
      <c r="Y82">
        <v>0.44356</v>
      </c>
      <c r="Z82">
        <v>0.0313098</v>
      </c>
      <c r="AA82">
        <v>0.00216866</v>
      </c>
      <c r="AB82">
        <v>0.0561117</v>
      </c>
      <c r="AC82">
        <v>7.90495</v>
      </c>
      <c r="AD82">
        <v>0.44356</v>
      </c>
      <c r="AE82">
        <v>13.0849</v>
      </c>
      <c r="AF82">
        <v>1.65528</v>
      </c>
      <c r="AG82">
        <v>30.8461</v>
      </c>
      <c r="AH82">
        <v>4.12888</v>
      </c>
      <c r="AI82">
        <v>0.41124</v>
      </c>
      <c r="AJ82">
        <v>0.0300952</v>
      </c>
      <c r="AK82">
        <v>0.00212847</v>
      </c>
      <c r="AL82">
        <v>0.0550797</v>
      </c>
      <c r="AM82">
        <v>7.46627</v>
      </c>
      <c r="AN82">
        <v>0.41124</v>
      </c>
      <c r="AO82">
        <v>12.8128</v>
      </c>
      <c r="AP82">
        <v>1.71609</v>
      </c>
      <c r="AQ82">
        <v>27.3664</v>
      </c>
      <c r="AR82">
        <v>3.94122</v>
      </c>
      <c r="AS82">
        <f t="shared" si="4"/>
        <v>10.6840111822527</v>
      </c>
      <c r="AT82">
        <f t="shared" si="5"/>
        <v>11.8300748954382</v>
      </c>
      <c r="AU82">
        <f t="shared" si="6"/>
        <v>-0.126</v>
      </c>
      <c r="AV82">
        <v>1.54838e-6</v>
      </c>
      <c r="AW82">
        <v>1.81238e-6</v>
      </c>
      <c r="AX82">
        <v>1.5658e-7</v>
      </c>
      <c r="AY82">
        <v>1.50506e-7</v>
      </c>
      <c r="AZ82">
        <v>1047370</v>
      </c>
      <c r="BA82">
        <v>-644867</v>
      </c>
      <c r="BB82">
        <v>1230330</v>
      </c>
      <c r="BC82">
        <v>-31.7</v>
      </c>
      <c r="BD82">
        <v>610230</v>
      </c>
      <c r="BE82">
        <f t="shared" si="7"/>
        <v>5.78549355452597</v>
      </c>
      <c r="BF82">
        <v>9.2159e-10</v>
      </c>
      <c r="BG82">
        <v>-9.03546224634315</v>
      </c>
      <c r="BH82">
        <v>0.87441</v>
      </c>
      <c r="BI82">
        <v>1842</v>
      </c>
      <c r="BJ82">
        <v>831270</v>
      </c>
      <c r="BK82">
        <v>5.919742107376</v>
      </c>
      <c r="BL82">
        <v>7.5063e-10</v>
      </c>
      <c r="BM82">
        <v>-9.88015049678848</v>
      </c>
    </row>
    <row r="83" spans="1:65">
      <c r="A83">
        <v>81</v>
      </c>
      <c r="B83">
        <v>21</v>
      </c>
      <c r="C83" t="s">
        <v>66</v>
      </c>
      <c r="D83">
        <v>1</v>
      </c>
      <c r="E83">
        <v>5.491</v>
      </c>
      <c r="F83">
        <v>0.766802</v>
      </c>
      <c r="G83">
        <v>0.794445</v>
      </c>
      <c r="H83">
        <v>1.1757</v>
      </c>
      <c r="I83">
        <v>4.67041</v>
      </c>
      <c r="J83">
        <v>5.491</v>
      </c>
      <c r="K83">
        <v>7.16091</v>
      </c>
      <c r="L83">
        <v>1.53325</v>
      </c>
      <c r="M83">
        <v>9.65287</v>
      </c>
      <c r="N83">
        <v>2.46178</v>
      </c>
      <c r="O83">
        <v>5.00393</v>
      </c>
      <c r="P83">
        <v>0.523186</v>
      </c>
      <c r="Q83">
        <v>0.53697</v>
      </c>
      <c r="R83">
        <v>0.900325</v>
      </c>
      <c r="S83">
        <v>5.55792</v>
      </c>
      <c r="T83">
        <v>5.00393</v>
      </c>
      <c r="U83">
        <v>9.56435</v>
      </c>
      <c r="V83">
        <v>1.72085</v>
      </c>
      <c r="W83">
        <v>13.6967</v>
      </c>
      <c r="X83">
        <v>3.08142</v>
      </c>
      <c r="Y83">
        <v>0.41504</v>
      </c>
      <c r="Z83">
        <v>0.0442579</v>
      </c>
      <c r="AA83">
        <v>0.0022991</v>
      </c>
      <c r="AB83">
        <v>0.0652487</v>
      </c>
      <c r="AC83">
        <v>6.36089</v>
      </c>
      <c r="AD83">
        <v>0.41504</v>
      </c>
      <c r="AE83">
        <v>9.17733</v>
      </c>
      <c r="AF83">
        <v>1.44277</v>
      </c>
      <c r="AG83">
        <v>19.8348</v>
      </c>
      <c r="AH83">
        <v>3.06768</v>
      </c>
      <c r="AI83">
        <v>0.42484</v>
      </c>
      <c r="AJ83">
        <v>0.0316513</v>
      </c>
      <c r="AK83">
        <v>0.00224797</v>
      </c>
      <c r="AL83">
        <v>0.0570029</v>
      </c>
      <c r="AM83">
        <v>7.45296</v>
      </c>
      <c r="AN83">
        <v>0.42484</v>
      </c>
      <c r="AO83">
        <v>12.4004</v>
      </c>
      <c r="AP83">
        <v>1.66383</v>
      </c>
      <c r="AQ83">
        <v>26.8075</v>
      </c>
      <c r="AR83">
        <v>3.82608</v>
      </c>
      <c r="AS83">
        <f t="shared" si="4"/>
        <v>13.2300501156515</v>
      </c>
      <c r="AT83">
        <f t="shared" si="5"/>
        <v>11.7783871575181</v>
      </c>
      <c r="AU83">
        <f t="shared" si="6"/>
        <v>0.487069999999999</v>
      </c>
      <c r="AV83">
        <v>2.92167e-6</v>
      </c>
      <c r="AW83">
        <v>1.7822e-6</v>
      </c>
      <c r="AX83">
        <v>2.21334e-7</v>
      </c>
      <c r="AY83">
        <v>1.58288e-7</v>
      </c>
      <c r="AZ83">
        <v>734567</v>
      </c>
      <c r="BA83">
        <v>-394833</v>
      </c>
      <c r="BB83">
        <v>834500</v>
      </c>
      <c r="BC83">
        <v>-28.3333</v>
      </c>
      <c r="BD83">
        <v>777690</v>
      </c>
      <c r="BE83">
        <f t="shared" si="7"/>
        <v>5.89080651457459</v>
      </c>
      <c r="BF83">
        <v>1.6719e-9</v>
      </c>
      <c r="BG83">
        <v>-8.77678970222414</v>
      </c>
      <c r="BH83">
        <v>0.82513</v>
      </c>
      <c r="BI83">
        <v>1849</v>
      </c>
      <c r="BJ83">
        <v>287180</v>
      </c>
      <c r="BK83">
        <v>5.45815419116885</v>
      </c>
      <c r="BL83">
        <v>2.9369e-9</v>
      </c>
      <c r="BM83">
        <v>-8.45716212925113</v>
      </c>
    </row>
    <row r="84" spans="1:65">
      <c r="A84">
        <v>82</v>
      </c>
      <c r="B84">
        <v>21</v>
      </c>
      <c r="C84" t="s">
        <v>67</v>
      </c>
      <c r="D84">
        <v>2</v>
      </c>
      <c r="E84">
        <v>4.721</v>
      </c>
      <c r="F84">
        <v>0.329005</v>
      </c>
      <c r="G84">
        <v>0.396275</v>
      </c>
      <c r="H84">
        <v>0.710239</v>
      </c>
      <c r="I84">
        <v>6.64706</v>
      </c>
      <c r="J84">
        <v>4.721</v>
      </c>
      <c r="K84">
        <v>14.3493</v>
      </c>
      <c r="L84">
        <v>2.15875</v>
      </c>
      <c r="M84">
        <v>21.0357</v>
      </c>
      <c r="N84">
        <v>3.99362</v>
      </c>
      <c r="O84">
        <v>5.118</v>
      </c>
      <c r="P84">
        <v>0.507254</v>
      </c>
      <c r="Q84">
        <v>0.51054</v>
      </c>
      <c r="R84">
        <v>0.87621</v>
      </c>
      <c r="S84">
        <v>5.84106</v>
      </c>
      <c r="T84">
        <v>5.118</v>
      </c>
      <c r="U84">
        <v>10.0896</v>
      </c>
      <c r="V84">
        <v>1.72736</v>
      </c>
      <c r="W84">
        <v>16.3269</v>
      </c>
      <c r="X84">
        <v>3.42107</v>
      </c>
      <c r="Y84">
        <v>0.39828</v>
      </c>
      <c r="Z84">
        <v>0.0288246</v>
      </c>
      <c r="AA84">
        <v>0.0021573</v>
      </c>
      <c r="AB84">
        <v>0.0546601</v>
      </c>
      <c r="AC84">
        <v>7.28649</v>
      </c>
      <c r="AD84">
        <v>0.39828</v>
      </c>
      <c r="AE84">
        <v>12.6699</v>
      </c>
      <c r="AF84">
        <v>1.73881</v>
      </c>
      <c r="AG84">
        <v>27.7985</v>
      </c>
      <c r="AH84">
        <v>3.9785</v>
      </c>
      <c r="AI84">
        <v>0.4234</v>
      </c>
      <c r="AJ84">
        <v>0.0262554</v>
      </c>
      <c r="AK84">
        <v>0.00217948</v>
      </c>
      <c r="AL84">
        <v>0.0535573</v>
      </c>
      <c r="AM84">
        <v>7.90554</v>
      </c>
      <c r="AN84">
        <v>0.4234</v>
      </c>
      <c r="AO84">
        <v>14.0346</v>
      </c>
      <c r="AP84">
        <v>1.77529</v>
      </c>
      <c r="AQ84">
        <v>30.0073</v>
      </c>
      <c r="AR84">
        <v>4.1128</v>
      </c>
      <c r="AS84">
        <f t="shared" si="4"/>
        <v>11.8534699206588</v>
      </c>
      <c r="AT84">
        <f t="shared" si="5"/>
        <v>12.0878601794993</v>
      </c>
      <c r="AU84">
        <f t="shared" si="6"/>
        <v>-0.397</v>
      </c>
      <c r="AV84">
        <v>1.35288e-6</v>
      </c>
      <c r="AW84">
        <v>1.69823e-6</v>
      </c>
      <c r="AX84">
        <v>1.44152e-7</v>
      </c>
      <c r="AY84">
        <v>1.31303e-7</v>
      </c>
      <c r="AZ84">
        <v>411533</v>
      </c>
      <c r="BA84">
        <v>-151500</v>
      </c>
      <c r="BB84">
        <v>438600</v>
      </c>
      <c r="BC84">
        <v>-20.3</v>
      </c>
      <c r="BD84">
        <v>253430</v>
      </c>
      <c r="BE84">
        <f t="shared" si="7"/>
        <v>5.40385802358324</v>
      </c>
      <c r="BF84">
        <v>1.5813e-9</v>
      </c>
      <c r="BG84">
        <v>-8.80098572906538</v>
      </c>
      <c r="BH84">
        <v>0.81801</v>
      </c>
      <c r="BI84">
        <v>1279</v>
      </c>
      <c r="BJ84">
        <v>225460</v>
      </c>
      <c r="BK84">
        <v>5.35306950266545</v>
      </c>
      <c r="BL84">
        <v>2.2678e-9</v>
      </c>
      <c r="BM84">
        <v>-9.41119066129628</v>
      </c>
    </row>
    <row r="85" spans="1:65">
      <c r="A85">
        <v>83</v>
      </c>
      <c r="B85">
        <v>21</v>
      </c>
      <c r="C85" t="s">
        <v>68</v>
      </c>
      <c r="D85">
        <v>3</v>
      </c>
      <c r="E85">
        <v>5.76793</v>
      </c>
      <c r="F85">
        <v>0.712393</v>
      </c>
      <c r="G85">
        <v>0.770544</v>
      </c>
      <c r="H85">
        <v>1.13044</v>
      </c>
      <c r="I85">
        <v>5.10238</v>
      </c>
      <c r="J85">
        <v>5.76793</v>
      </c>
      <c r="K85">
        <v>8.09656</v>
      </c>
      <c r="L85">
        <v>1.58682</v>
      </c>
      <c r="M85">
        <v>11.5123</v>
      </c>
      <c r="N85">
        <v>2.72651</v>
      </c>
      <c r="O85">
        <v>4.234</v>
      </c>
      <c r="P85">
        <v>0.303835</v>
      </c>
      <c r="Q85">
        <v>0.28906</v>
      </c>
      <c r="R85">
        <v>0.617509</v>
      </c>
      <c r="S85">
        <v>6.85658</v>
      </c>
      <c r="T85">
        <v>4.234</v>
      </c>
      <c r="U85">
        <v>13.9352</v>
      </c>
      <c r="V85">
        <v>2.03238</v>
      </c>
      <c r="W85">
        <v>22.8711</v>
      </c>
      <c r="X85">
        <v>4.15515</v>
      </c>
      <c r="Y85">
        <v>0.40168</v>
      </c>
      <c r="Z85">
        <v>0.0653972</v>
      </c>
      <c r="AA85">
        <v>0.00228672</v>
      </c>
      <c r="AB85">
        <v>0.0810127</v>
      </c>
      <c r="AC85">
        <v>4.95823</v>
      </c>
      <c r="AD85">
        <v>0.40168</v>
      </c>
      <c r="AE85">
        <v>6.1411</v>
      </c>
      <c r="AF85">
        <v>1.23857</v>
      </c>
      <c r="AG85">
        <v>16.8168</v>
      </c>
      <c r="AH85">
        <v>2.58908</v>
      </c>
      <c r="AI85">
        <v>0.4914</v>
      </c>
      <c r="AJ85">
        <v>0.0475508</v>
      </c>
      <c r="AK85">
        <v>0.00272831</v>
      </c>
      <c r="AL85">
        <v>0.0706317</v>
      </c>
      <c r="AM85">
        <v>6.95721</v>
      </c>
      <c r="AN85">
        <v>0.4914</v>
      </c>
      <c r="AO85">
        <v>10.1954</v>
      </c>
      <c r="AP85">
        <v>1.46544</v>
      </c>
      <c r="AQ85">
        <v>29.2</v>
      </c>
      <c r="AR85">
        <v>4.01147</v>
      </c>
      <c r="AS85">
        <f t="shared" si="4"/>
        <v>14.3595150368453</v>
      </c>
      <c r="AT85">
        <f t="shared" si="5"/>
        <v>8.61619861619862</v>
      </c>
      <c r="AU85">
        <f t="shared" si="6"/>
        <v>1.53393</v>
      </c>
      <c r="AV85">
        <v>3.59744e-6</v>
      </c>
      <c r="AW85">
        <v>1.51576e-6</v>
      </c>
      <c r="AX85">
        <v>3.27052e-7</v>
      </c>
      <c r="AY85">
        <v>2.37802e-7</v>
      </c>
      <c r="AZ85">
        <v>385367</v>
      </c>
      <c r="BA85">
        <v>-154767</v>
      </c>
      <c r="BB85">
        <v>415367</v>
      </c>
      <c r="BC85">
        <v>-21.9333</v>
      </c>
      <c r="BD85">
        <v>333720</v>
      </c>
      <c r="BE85">
        <f t="shared" si="7"/>
        <v>5.52338223491178</v>
      </c>
      <c r="BF85">
        <v>8.2598e-10</v>
      </c>
      <c r="BG85">
        <v>-9.08303046841182</v>
      </c>
      <c r="BH85">
        <v>0.86391</v>
      </c>
      <c r="BI85">
        <v>2116</v>
      </c>
      <c r="BJ85">
        <v>271330</v>
      </c>
      <c r="BK85">
        <v>5.43349781482372</v>
      </c>
      <c r="BL85">
        <v>4.0341e-9</v>
      </c>
      <c r="BM85">
        <v>-8.93494339664398</v>
      </c>
    </row>
    <row r="86" spans="1:65">
      <c r="A86">
        <v>84</v>
      </c>
      <c r="B86">
        <v>22</v>
      </c>
      <c r="C86" t="s">
        <v>65</v>
      </c>
      <c r="D86">
        <v>0</v>
      </c>
      <c r="E86">
        <v>5.587</v>
      </c>
      <c r="F86">
        <v>0.681284</v>
      </c>
      <c r="G86">
        <v>0.79673</v>
      </c>
      <c r="H86">
        <v>1.12282</v>
      </c>
      <c r="I86">
        <v>4.97587</v>
      </c>
      <c r="J86">
        <v>5.587</v>
      </c>
      <c r="K86">
        <v>8.20069</v>
      </c>
      <c r="L86">
        <v>1.64809</v>
      </c>
      <c r="M86">
        <v>10.9896</v>
      </c>
      <c r="N86">
        <v>2.7286</v>
      </c>
      <c r="O86">
        <v>5.503</v>
      </c>
      <c r="P86">
        <v>0.634658</v>
      </c>
      <c r="Q86">
        <v>0.681207</v>
      </c>
      <c r="R86">
        <v>1.04109</v>
      </c>
      <c r="S86">
        <v>5.28582</v>
      </c>
      <c r="T86">
        <v>5.503</v>
      </c>
      <c r="U86">
        <v>8.67081</v>
      </c>
      <c r="V86">
        <v>1.64039</v>
      </c>
      <c r="W86">
        <v>13.397</v>
      </c>
      <c r="X86">
        <v>3.06151</v>
      </c>
      <c r="Y86">
        <v>0.40256</v>
      </c>
      <c r="Z86">
        <v>0.039008</v>
      </c>
      <c r="AA86">
        <v>0.00209164</v>
      </c>
      <c r="AB86">
        <v>0.0601069</v>
      </c>
      <c r="AC86">
        <v>6.6974</v>
      </c>
      <c r="AD86">
        <v>0.40256</v>
      </c>
      <c r="AE86">
        <v>9.79548</v>
      </c>
      <c r="AF86">
        <v>1.46258</v>
      </c>
      <c r="AG86">
        <v>19.4552</v>
      </c>
      <c r="AH86">
        <v>2.96284</v>
      </c>
      <c r="AI86">
        <v>0.37756</v>
      </c>
      <c r="AJ86">
        <v>0.0307364</v>
      </c>
      <c r="AK86">
        <v>0.00196362</v>
      </c>
      <c r="AL86">
        <v>0.0539255</v>
      </c>
      <c r="AM86">
        <v>7.00152</v>
      </c>
      <c r="AN86">
        <v>0.37756</v>
      </c>
      <c r="AO86">
        <v>11.4536</v>
      </c>
      <c r="AP86">
        <v>1.63588</v>
      </c>
      <c r="AQ86">
        <v>23.2975</v>
      </c>
      <c r="AR86">
        <v>3.52287</v>
      </c>
      <c r="AS86">
        <f t="shared" si="4"/>
        <v>13.8786764705882</v>
      </c>
      <c r="AT86">
        <f t="shared" si="5"/>
        <v>14.5751668608963</v>
      </c>
      <c r="AU86">
        <f t="shared" si="6"/>
        <v>0.0839999999999996</v>
      </c>
      <c r="AV86">
        <v>2.22856e-6</v>
      </c>
      <c r="AW86">
        <v>1.97705e-6</v>
      </c>
      <c r="AX86">
        <v>1.95079e-7</v>
      </c>
      <c r="AY86">
        <v>1.53713e-7</v>
      </c>
      <c r="AZ86">
        <v>670633</v>
      </c>
      <c r="BA86">
        <v>-295833</v>
      </c>
      <c r="BB86">
        <v>734433</v>
      </c>
      <c r="BC86">
        <v>-23.5667</v>
      </c>
      <c r="BD86">
        <v>126620</v>
      </c>
      <c r="BE86">
        <f t="shared" si="7"/>
        <v>5.10250230918545</v>
      </c>
      <c r="BF86">
        <v>2.2332e-9</v>
      </c>
      <c r="BG86">
        <v>-8.65107238082161</v>
      </c>
      <c r="BH86">
        <v>0.83788</v>
      </c>
      <c r="BI86">
        <v>3741</v>
      </c>
      <c r="BJ86">
        <v>1054800</v>
      </c>
      <c r="BK86">
        <v>6.0231701211214</v>
      </c>
      <c r="BL86">
        <v>2.9868e-10</v>
      </c>
      <c r="BM86">
        <v>-10.3482569195838</v>
      </c>
    </row>
    <row r="87" spans="1:65">
      <c r="A87">
        <v>85</v>
      </c>
      <c r="B87">
        <v>22</v>
      </c>
      <c r="C87" t="s">
        <v>66</v>
      </c>
      <c r="D87">
        <v>1</v>
      </c>
      <c r="E87" s="1">
        <v>6.20073</v>
      </c>
      <c r="F87">
        <v>1.01568</v>
      </c>
      <c r="G87">
        <v>1.0964</v>
      </c>
      <c r="H87">
        <v>1.4587</v>
      </c>
      <c r="I87">
        <v>4.25087</v>
      </c>
      <c r="J87">
        <v>6.20073</v>
      </c>
      <c r="K87">
        <v>6.105</v>
      </c>
      <c r="L87">
        <v>1.43617</v>
      </c>
      <c r="M87">
        <v>8.14182</v>
      </c>
      <c r="N87">
        <v>2.21359</v>
      </c>
      <c r="O87">
        <v>6.038</v>
      </c>
      <c r="P87">
        <v>0.887107</v>
      </c>
      <c r="Q87">
        <v>1.0021</v>
      </c>
      <c r="R87">
        <v>1.33748</v>
      </c>
      <c r="S87">
        <v>4.51445</v>
      </c>
      <c r="T87">
        <v>6.038</v>
      </c>
      <c r="U87">
        <v>6.80639</v>
      </c>
      <c r="V87">
        <v>1.50769</v>
      </c>
      <c r="W87">
        <v>8.77152</v>
      </c>
      <c r="X87">
        <v>2.29196</v>
      </c>
      <c r="Y87">
        <v>0.37888</v>
      </c>
      <c r="Z87">
        <v>0.0270345</v>
      </c>
      <c r="AA87">
        <v>0.00178207</v>
      </c>
      <c r="AB87">
        <v>0.0501256</v>
      </c>
      <c r="AC87">
        <v>7.55861</v>
      </c>
      <c r="AD87">
        <v>0.37888</v>
      </c>
      <c r="AE87">
        <v>11.9863</v>
      </c>
      <c r="AF87">
        <v>1.58578</v>
      </c>
      <c r="AG87">
        <v>22.4371</v>
      </c>
      <c r="AH87">
        <v>3.27514</v>
      </c>
      <c r="AI87">
        <v>0.4242</v>
      </c>
      <c r="AJ87">
        <v>0.0272225</v>
      </c>
      <c r="AK87">
        <v>0.00213051</v>
      </c>
      <c r="AL87">
        <v>0.0535831</v>
      </c>
      <c r="AM87">
        <v>7.91668</v>
      </c>
      <c r="AN87">
        <v>0.4242</v>
      </c>
      <c r="AO87">
        <v>13.2452</v>
      </c>
      <c r="AP87">
        <v>1.67307</v>
      </c>
      <c r="AQ87">
        <v>24.9074</v>
      </c>
      <c r="AR87">
        <v>3.57765</v>
      </c>
      <c r="AS87">
        <f t="shared" si="4"/>
        <v>16.3659470016892</v>
      </c>
      <c r="AT87">
        <f t="shared" si="5"/>
        <v>14.2338519566242</v>
      </c>
      <c r="AU87">
        <f t="shared" si="6"/>
        <v>0.16273</v>
      </c>
      <c r="AV87">
        <v>2.65101e-6</v>
      </c>
      <c r="AW87">
        <v>2.68077e-6</v>
      </c>
      <c r="AX87">
        <v>1.352e-7</v>
      </c>
      <c r="AY87">
        <v>1.3614e-7</v>
      </c>
      <c r="AZ87">
        <v>921333</v>
      </c>
      <c r="BA87">
        <v>-654233</v>
      </c>
      <c r="BB87">
        <v>1129730</v>
      </c>
      <c r="BC87">
        <v>-35.4333</v>
      </c>
      <c r="BD87">
        <v>941100</v>
      </c>
      <c r="BE87">
        <f t="shared" si="7"/>
        <v>5.97363577341741</v>
      </c>
      <c r="BF87">
        <v>1.0527e-9</v>
      </c>
      <c r="BG87">
        <v>-8.97769537706493</v>
      </c>
      <c r="BH87">
        <v>0.84441</v>
      </c>
      <c r="BI87">
        <v>4822</v>
      </c>
      <c r="BJ87">
        <v>3.0167e+16</v>
      </c>
      <c r="BK87">
        <v>16.4795321232931</v>
      </c>
      <c r="BL87">
        <v>4.745e-10</v>
      </c>
      <c r="BM87">
        <v>-10.1851599832229</v>
      </c>
    </row>
    <row r="88" spans="1:65">
      <c r="A88">
        <v>86</v>
      </c>
      <c r="B88">
        <v>22</v>
      </c>
      <c r="C88" t="s">
        <v>67</v>
      </c>
      <c r="D88">
        <v>2</v>
      </c>
      <c r="E88">
        <v>6.225</v>
      </c>
      <c r="F88">
        <v>0.925716</v>
      </c>
      <c r="G88">
        <v>1.24425</v>
      </c>
      <c r="H88">
        <v>1.44947</v>
      </c>
      <c r="I88">
        <v>4.29468</v>
      </c>
      <c r="J88">
        <v>6.225</v>
      </c>
      <c r="K88">
        <v>6.72453</v>
      </c>
      <c r="L88">
        <v>1.56578</v>
      </c>
      <c r="M88">
        <v>7.60917</v>
      </c>
      <c r="N88">
        <v>2.11729</v>
      </c>
      <c r="O88">
        <v>5.99</v>
      </c>
      <c r="P88">
        <v>0.737352</v>
      </c>
      <c r="Q88">
        <v>0.953452</v>
      </c>
      <c r="R88">
        <v>1.2235</v>
      </c>
      <c r="S88">
        <v>4.8958</v>
      </c>
      <c r="T88">
        <v>5.99</v>
      </c>
      <c r="U88">
        <v>8.12366</v>
      </c>
      <c r="V88">
        <v>1.65931</v>
      </c>
      <c r="W88">
        <v>10.468</v>
      </c>
      <c r="X88">
        <v>2.61223</v>
      </c>
      <c r="Y88">
        <v>0.36356</v>
      </c>
      <c r="Z88">
        <v>0.0468498</v>
      </c>
      <c r="AA88">
        <v>0.00196458</v>
      </c>
      <c r="AB88">
        <v>0.064491</v>
      </c>
      <c r="AC88">
        <v>5.63738</v>
      </c>
      <c r="AD88">
        <v>0.36356</v>
      </c>
      <c r="AE88">
        <v>7.65298</v>
      </c>
      <c r="AF88">
        <v>1.35754</v>
      </c>
      <c r="AG88">
        <v>16.664</v>
      </c>
      <c r="AH88">
        <v>2.68583</v>
      </c>
      <c r="AI88">
        <v>0.38344</v>
      </c>
      <c r="AJ88">
        <v>0.035151</v>
      </c>
      <c r="AK88">
        <v>0.00208779</v>
      </c>
      <c r="AL88">
        <v>0.0576451</v>
      </c>
      <c r="AM88">
        <v>6.65173</v>
      </c>
      <c r="AN88">
        <v>0.38344</v>
      </c>
      <c r="AO88">
        <v>10.3432</v>
      </c>
      <c r="AP88">
        <v>1.55496</v>
      </c>
      <c r="AQ88">
        <v>20.4528</v>
      </c>
      <c r="AR88">
        <v>3.2206</v>
      </c>
      <c r="AS88">
        <f t="shared" si="4"/>
        <v>17.1223456925954</v>
      </c>
      <c r="AT88">
        <f t="shared" si="5"/>
        <v>15.6217400375548</v>
      </c>
      <c r="AU88">
        <f t="shared" si="6"/>
        <v>0.234999999999999</v>
      </c>
      <c r="AV88">
        <v>3.42253e-6</v>
      </c>
      <c r="AW88">
        <v>2.58409e-6</v>
      </c>
      <c r="AX88">
        <v>2.34296e-7</v>
      </c>
      <c r="AY88">
        <v>1.7579e-7</v>
      </c>
      <c r="AZ88">
        <v>1527000</v>
      </c>
      <c r="BA88">
        <v>-1946330</v>
      </c>
      <c r="BB88">
        <v>2478000</v>
      </c>
      <c r="BC88">
        <v>-52.2</v>
      </c>
      <c r="BD88">
        <v>3753400</v>
      </c>
      <c r="BE88">
        <f t="shared" si="7"/>
        <v>6.57442484966112</v>
      </c>
      <c r="BF88">
        <v>5.4737e-10</v>
      </c>
      <c r="BG88">
        <v>-9.26171900888331</v>
      </c>
      <c r="BH88">
        <v>0.88788</v>
      </c>
      <c r="BI88">
        <v>4446</v>
      </c>
      <c r="BJ88">
        <v>202210000000000</v>
      </c>
      <c r="BK88">
        <v>14.3058026291849</v>
      </c>
      <c r="BL88">
        <v>1.618e-9</v>
      </c>
      <c r="BM88">
        <v>-9.98363532054371</v>
      </c>
    </row>
    <row r="89" spans="1:65">
      <c r="A89">
        <v>87</v>
      </c>
      <c r="B89">
        <v>22</v>
      </c>
      <c r="C89" t="s">
        <v>68</v>
      </c>
      <c r="D89">
        <v>3</v>
      </c>
      <c r="E89">
        <v>5.659</v>
      </c>
      <c r="F89">
        <v>0.872434</v>
      </c>
      <c r="G89">
        <v>0.841722</v>
      </c>
      <c r="H89">
        <v>1.26598</v>
      </c>
      <c r="I89">
        <v>4.47007</v>
      </c>
      <c r="J89">
        <v>5.659</v>
      </c>
      <c r="K89">
        <v>6.48549</v>
      </c>
      <c r="L89">
        <v>1.45087</v>
      </c>
      <c r="M89">
        <v>9.37938</v>
      </c>
      <c r="N89">
        <v>2.44439</v>
      </c>
      <c r="O89">
        <v>5.74973</v>
      </c>
      <c r="P89">
        <v>0.748364</v>
      </c>
      <c r="Q89">
        <v>0.772901</v>
      </c>
      <c r="R89">
        <v>1.15447</v>
      </c>
      <c r="S89">
        <v>4.98042</v>
      </c>
      <c r="T89">
        <v>5.74973</v>
      </c>
      <c r="U89">
        <v>7.68307</v>
      </c>
      <c r="V89">
        <v>1.54265</v>
      </c>
      <c r="W89">
        <v>11.6732</v>
      </c>
      <c r="X89">
        <v>2.78524</v>
      </c>
      <c r="Y89">
        <v>0.46976</v>
      </c>
      <c r="Z89">
        <v>0.0896588</v>
      </c>
      <c r="AA89">
        <v>0.00249008</v>
      </c>
      <c r="AB89">
        <v>0.102607</v>
      </c>
      <c r="AC89">
        <v>4.57823</v>
      </c>
      <c r="AD89">
        <v>0.46976</v>
      </c>
      <c r="AE89">
        <v>5.23723</v>
      </c>
      <c r="AF89">
        <v>1.14394</v>
      </c>
      <c r="AG89">
        <v>18.0182</v>
      </c>
      <c r="AH89">
        <v>2.69464</v>
      </c>
      <c r="AI89">
        <v>0.5248</v>
      </c>
      <c r="AJ89">
        <v>0.0710182</v>
      </c>
      <c r="AK89">
        <v>0.00282804</v>
      </c>
      <c r="AL89">
        <v>0.088719</v>
      </c>
      <c r="AM89">
        <v>5.91531</v>
      </c>
      <c r="AN89">
        <v>0.5248</v>
      </c>
      <c r="AO89">
        <v>7.36803</v>
      </c>
      <c r="AP89">
        <v>1.24559</v>
      </c>
      <c r="AQ89">
        <v>22.8488</v>
      </c>
      <c r="AR89">
        <v>3.21674</v>
      </c>
      <c r="AS89">
        <f t="shared" si="4"/>
        <v>12.0465769754768</v>
      </c>
      <c r="AT89">
        <f t="shared" si="5"/>
        <v>10.9560403963415</v>
      </c>
      <c r="AU89">
        <f t="shared" si="6"/>
        <v>-0.0907299999999998</v>
      </c>
      <c r="AV89">
        <v>5.44597e-6</v>
      </c>
      <c r="AW89">
        <v>4.12597e-6</v>
      </c>
      <c r="AX89">
        <v>4.48384e-7</v>
      </c>
      <c r="AY89">
        <v>3.55162e-7</v>
      </c>
      <c r="AZ89">
        <v>974733</v>
      </c>
      <c r="BA89">
        <v>-709633</v>
      </c>
      <c r="BB89">
        <v>1207670</v>
      </c>
      <c r="BC89">
        <v>-36.1667</v>
      </c>
      <c r="BD89">
        <v>1741300</v>
      </c>
      <c r="BE89">
        <f t="shared" si="7"/>
        <v>6.24087360002058</v>
      </c>
      <c r="BF89">
        <v>9.3815e-10</v>
      </c>
      <c r="BG89">
        <v>-9.02772771709632</v>
      </c>
      <c r="BH89">
        <v>0.85884</v>
      </c>
      <c r="BI89">
        <v>1818</v>
      </c>
      <c r="BJ89">
        <v>16056</v>
      </c>
      <c r="BK89">
        <v>4.20563735947943</v>
      </c>
      <c r="BL89">
        <v>1.5269e-9</v>
      </c>
      <c r="BM89">
        <v>-8.72193266911134</v>
      </c>
    </row>
    <row r="90" spans="1:65">
      <c r="A90">
        <v>88</v>
      </c>
      <c r="B90">
        <v>23</v>
      </c>
      <c r="C90" t="s">
        <v>65</v>
      </c>
      <c r="D90">
        <v>0</v>
      </c>
      <c r="E90">
        <v>5.581</v>
      </c>
      <c r="F90">
        <v>0.620149</v>
      </c>
      <c r="G90">
        <v>0.780645</v>
      </c>
      <c r="H90">
        <v>1.07939</v>
      </c>
      <c r="I90">
        <v>5.17053</v>
      </c>
      <c r="J90">
        <v>5.581</v>
      </c>
      <c r="K90">
        <v>8.99945</v>
      </c>
      <c r="L90">
        <v>1.74053</v>
      </c>
      <c r="M90">
        <v>10.9273</v>
      </c>
      <c r="N90">
        <v>2.6554</v>
      </c>
      <c r="O90">
        <v>5.545</v>
      </c>
      <c r="P90">
        <v>0.490555</v>
      </c>
      <c r="Q90">
        <v>0.68187</v>
      </c>
      <c r="R90">
        <v>0.960405</v>
      </c>
      <c r="S90">
        <v>5.7736</v>
      </c>
      <c r="T90">
        <v>5.545</v>
      </c>
      <c r="U90">
        <v>11.2993</v>
      </c>
      <c r="V90">
        <v>1.95706</v>
      </c>
      <c r="W90">
        <v>13.648</v>
      </c>
      <c r="X90">
        <v>3.04478</v>
      </c>
      <c r="Y90">
        <v>0.34316</v>
      </c>
      <c r="Z90">
        <v>-0.0412344</v>
      </c>
      <c r="AA90">
        <v>0.00204385</v>
      </c>
      <c r="AB90">
        <v>0.0611859</v>
      </c>
      <c r="AC90">
        <v>5.60848</v>
      </c>
      <c r="AD90">
        <v>0.34316</v>
      </c>
      <c r="AE90">
        <v>6.96313</v>
      </c>
      <c r="AF90">
        <v>1.24154</v>
      </c>
      <c r="AG90">
        <v>23.1669</v>
      </c>
      <c r="AH90">
        <v>3.2182</v>
      </c>
      <c r="AI90">
        <v>0.3386</v>
      </c>
      <c r="AJ90">
        <v>-0.042177</v>
      </c>
      <c r="AK90">
        <v>0.00198892</v>
      </c>
      <c r="AL90">
        <v>0.0613794</v>
      </c>
      <c r="AM90">
        <v>5.51651</v>
      </c>
      <c r="AN90">
        <v>0.3386</v>
      </c>
      <c r="AO90">
        <v>6.78557</v>
      </c>
      <c r="AP90">
        <v>1.23005</v>
      </c>
      <c r="AQ90">
        <v>23.3874</v>
      </c>
      <c r="AR90">
        <v>3.25904</v>
      </c>
      <c r="AS90">
        <f t="shared" si="4"/>
        <v>16.2635505303648</v>
      </c>
      <c r="AT90">
        <f t="shared" si="5"/>
        <v>16.3762551683402</v>
      </c>
      <c r="AU90">
        <f t="shared" si="6"/>
        <v>0.0360000000000005</v>
      </c>
      <c r="AV90">
        <v>-4.91217e-7</v>
      </c>
      <c r="AW90">
        <v>-1.96797e-7</v>
      </c>
      <c r="AX90">
        <v>-2.06213e-7</v>
      </c>
      <c r="AY90">
        <v>-2.10927e-7</v>
      </c>
      <c r="AZ90">
        <v>340500</v>
      </c>
      <c r="BA90">
        <v>-124400</v>
      </c>
      <c r="BB90">
        <v>362667</v>
      </c>
      <c r="BC90">
        <v>-20.1333</v>
      </c>
      <c r="BD90">
        <v>395650</v>
      </c>
      <c r="BE90">
        <f t="shared" si="7"/>
        <v>5.59731117006353</v>
      </c>
      <c r="BF90">
        <v>1.1871e-9</v>
      </c>
      <c r="BG90">
        <v>-8.92551269501431</v>
      </c>
      <c r="BH90">
        <v>0.81749</v>
      </c>
      <c r="BI90">
        <v>3518</v>
      </c>
      <c r="BJ90">
        <v>3001900000000</v>
      </c>
      <c r="BK90">
        <v>12.4773962208281</v>
      </c>
      <c r="BL90">
        <v>2.0195e-9</v>
      </c>
      <c r="BM90">
        <v>-9.09507898415246</v>
      </c>
    </row>
    <row r="91" spans="1:65">
      <c r="A91">
        <v>89</v>
      </c>
      <c r="B91">
        <v>23</v>
      </c>
      <c r="C91" t="s">
        <v>66</v>
      </c>
      <c r="D91">
        <v>1</v>
      </c>
      <c r="E91">
        <v>5.647</v>
      </c>
      <c r="F91">
        <v>0.520183</v>
      </c>
      <c r="G91">
        <v>0.789523</v>
      </c>
      <c r="H91">
        <v>1.02954</v>
      </c>
      <c r="I91">
        <v>5.48497</v>
      </c>
      <c r="J91">
        <v>5.647</v>
      </c>
      <c r="K91">
        <v>10.8558</v>
      </c>
      <c r="L91">
        <v>1.97919</v>
      </c>
      <c r="M91">
        <v>11.7985</v>
      </c>
      <c r="N91">
        <v>2.81359</v>
      </c>
      <c r="O91">
        <v>5.533</v>
      </c>
      <c r="P91">
        <v>0.53943</v>
      </c>
      <c r="Q91">
        <v>0.669869</v>
      </c>
      <c r="R91">
        <v>0.980163</v>
      </c>
      <c r="S91">
        <v>5.64498</v>
      </c>
      <c r="T91">
        <v>5.533</v>
      </c>
      <c r="U91">
        <v>10.2571</v>
      </c>
      <c r="V91">
        <v>1.81704</v>
      </c>
      <c r="W91">
        <v>13.542</v>
      </c>
      <c r="X91">
        <v>3.03621</v>
      </c>
      <c r="Y91">
        <v>0.34168</v>
      </c>
      <c r="Z91">
        <v>-0.0381496</v>
      </c>
      <c r="AA91">
        <v>0.00207799</v>
      </c>
      <c r="AB91">
        <v>0.0594388</v>
      </c>
      <c r="AC91">
        <v>5.74844</v>
      </c>
      <c r="AD91">
        <v>0.34168</v>
      </c>
      <c r="AE91">
        <v>7.27194</v>
      </c>
      <c r="AF91">
        <v>1.26503</v>
      </c>
      <c r="AG91">
        <v>18.8707</v>
      </c>
      <c r="AH91">
        <v>2.75039</v>
      </c>
      <c r="AI91">
        <v>0.3798</v>
      </c>
      <c r="AJ91">
        <v>-0.0388219</v>
      </c>
      <c r="AK91">
        <v>0.00231965</v>
      </c>
      <c r="AL91">
        <v>0.0618573</v>
      </c>
      <c r="AM91">
        <v>6.13993</v>
      </c>
      <c r="AN91">
        <v>0.3798</v>
      </c>
      <c r="AO91">
        <v>7.9496</v>
      </c>
      <c r="AP91">
        <v>1.29474</v>
      </c>
      <c r="AQ91">
        <v>24.8786</v>
      </c>
      <c r="AR91">
        <v>3.30026</v>
      </c>
      <c r="AS91">
        <f t="shared" si="4"/>
        <v>16.5271599157106</v>
      </c>
      <c r="AT91">
        <f t="shared" si="5"/>
        <v>14.5681937862033</v>
      </c>
      <c r="AU91">
        <f t="shared" si="6"/>
        <v>0.114</v>
      </c>
      <c r="AV91">
        <v>1.354e-8</v>
      </c>
      <c r="AW91">
        <v>-1.05381e-7</v>
      </c>
      <c r="AX91">
        <v>-1.90786e-7</v>
      </c>
      <c r="AY91">
        <v>-1.94148e-7</v>
      </c>
      <c r="AZ91">
        <v>1244330</v>
      </c>
      <c r="BA91">
        <v>-757067</v>
      </c>
      <c r="BB91">
        <v>1457330</v>
      </c>
      <c r="BC91">
        <v>-31.4</v>
      </c>
      <c r="BD91">
        <v>1364500</v>
      </c>
      <c r="BE91">
        <f t="shared" si="7"/>
        <v>6.13497354000592</v>
      </c>
      <c r="BF91">
        <v>1.0548e-9</v>
      </c>
      <c r="BG91">
        <v>-8.9768298788786</v>
      </c>
      <c r="BH91">
        <v>0.80107</v>
      </c>
      <c r="BI91">
        <v>1762</v>
      </c>
      <c r="BJ91">
        <v>719140</v>
      </c>
      <c r="BK91">
        <v>5.85681344574976</v>
      </c>
      <c r="BL91">
        <v>1.5995e-9</v>
      </c>
      <c r="BM91">
        <v>-9.2220587093603</v>
      </c>
    </row>
    <row r="92" spans="1:65">
      <c r="A92">
        <v>90</v>
      </c>
      <c r="B92">
        <v>23</v>
      </c>
      <c r="C92" t="s">
        <v>67</v>
      </c>
      <c r="D92">
        <v>2</v>
      </c>
      <c r="E92">
        <v>5.479</v>
      </c>
      <c r="F92">
        <v>0.696445</v>
      </c>
      <c r="G92">
        <v>0.841984</v>
      </c>
      <c r="H92">
        <v>1.15189</v>
      </c>
      <c r="I92">
        <v>4.75653</v>
      </c>
      <c r="J92">
        <v>5.479</v>
      </c>
      <c r="K92">
        <v>7.86686</v>
      </c>
      <c r="L92">
        <v>1.65391</v>
      </c>
      <c r="M92">
        <v>8.94641</v>
      </c>
      <c r="N92">
        <v>2.31698</v>
      </c>
      <c r="O92">
        <v>5.497</v>
      </c>
      <c r="P92">
        <v>0.595768</v>
      </c>
      <c r="Q92">
        <v>0.730909</v>
      </c>
      <c r="R92">
        <v>1.04197</v>
      </c>
      <c r="S92">
        <v>5.27558</v>
      </c>
      <c r="T92">
        <v>5.497</v>
      </c>
      <c r="U92">
        <v>9.22675</v>
      </c>
      <c r="V92">
        <v>1.74895</v>
      </c>
      <c r="W92">
        <v>11.6738</v>
      </c>
      <c r="X92">
        <v>2.76165</v>
      </c>
      <c r="Y92">
        <v>0.33812</v>
      </c>
      <c r="Z92">
        <v>-0.040063</v>
      </c>
      <c r="AA92">
        <v>0.00208222</v>
      </c>
      <c r="AB92">
        <v>0.0607194</v>
      </c>
      <c r="AC92">
        <v>5.56856</v>
      </c>
      <c r="AD92">
        <v>0.33812</v>
      </c>
      <c r="AE92">
        <v>6.94699</v>
      </c>
      <c r="AF92">
        <v>1.24754</v>
      </c>
      <c r="AG92">
        <v>21.9365</v>
      </c>
      <c r="AH92">
        <v>3.1352</v>
      </c>
      <c r="AI92">
        <v>0.33164</v>
      </c>
      <c r="AJ92">
        <v>-0.0284717</v>
      </c>
      <c r="AK92">
        <v>0.00195106</v>
      </c>
      <c r="AL92">
        <v>0.0525482</v>
      </c>
      <c r="AM92">
        <v>6.31116</v>
      </c>
      <c r="AN92">
        <v>0.33164</v>
      </c>
      <c r="AO92">
        <v>8.73489</v>
      </c>
      <c r="AP92">
        <v>1.38404</v>
      </c>
      <c r="AQ92">
        <v>19.6243</v>
      </c>
      <c r="AR92">
        <v>2.73306</v>
      </c>
      <c r="AS92">
        <f t="shared" si="4"/>
        <v>16.2043061634923</v>
      </c>
      <c r="AT92">
        <f t="shared" si="5"/>
        <v>16.5752020262936</v>
      </c>
      <c r="AU92">
        <f t="shared" si="6"/>
        <v>-0.0179999999999998</v>
      </c>
      <c r="AV92">
        <v>-4.81549e-7</v>
      </c>
      <c r="AW92">
        <v>-2.31541e-7</v>
      </c>
      <c r="AX92">
        <v>-2.00355e-7</v>
      </c>
      <c r="AY92">
        <v>-1.42387e-7</v>
      </c>
      <c r="AZ92">
        <v>414000</v>
      </c>
      <c r="BA92">
        <v>-179700</v>
      </c>
      <c r="BB92">
        <v>451467</v>
      </c>
      <c r="BC92">
        <v>-23.5</v>
      </c>
      <c r="BD92">
        <v>14589</v>
      </c>
      <c r="BE92">
        <f t="shared" si="7"/>
        <v>4.16402552428784</v>
      </c>
      <c r="BF92">
        <v>1.3647e-9</v>
      </c>
      <c r="BG92">
        <v>-8.86496280845038</v>
      </c>
      <c r="BH92">
        <v>0.90724</v>
      </c>
      <c r="BI92">
        <v>4629</v>
      </c>
      <c r="BJ92">
        <v>507240</v>
      </c>
      <c r="BK92">
        <v>5.70521349387664</v>
      </c>
      <c r="BL92">
        <v>2.3129e-10</v>
      </c>
      <c r="BM92">
        <v>-11.2269746023612</v>
      </c>
    </row>
    <row r="93" spans="1:65">
      <c r="A93">
        <v>91</v>
      </c>
      <c r="B93">
        <v>23</v>
      </c>
      <c r="C93" t="s">
        <v>68</v>
      </c>
      <c r="D93">
        <v>3</v>
      </c>
      <c r="E93">
        <v>6.056</v>
      </c>
      <c r="F93">
        <v>0.760814</v>
      </c>
      <c r="G93">
        <v>1.02769</v>
      </c>
      <c r="H93">
        <v>1.26741</v>
      </c>
      <c r="I93">
        <v>4.77825</v>
      </c>
      <c r="J93">
        <v>6.056</v>
      </c>
      <c r="K93">
        <v>7.95989</v>
      </c>
      <c r="L93">
        <v>1.66586</v>
      </c>
      <c r="M93">
        <v>8.79323</v>
      </c>
      <c r="N93">
        <v>2.29561</v>
      </c>
      <c r="O93">
        <v>5.599</v>
      </c>
      <c r="P93">
        <v>0.702187</v>
      </c>
      <c r="Q93">
        <v>0.717362</v>
      </c>
      <c r="R93">
        <v>1.10013</v>
      </c>
      <c r="S93">
        <v>5.0894</v>
      </c>
      <c r="T93">
        <v>5.599</v>
      </c>
      <c r="U93">
        <v>7.97366</v>
      </c>
      <c r="V93">
        <v>1.56672</v>
      </c>
      <c r="W93">
        <v>11.8933</v>
      </c>
      <c r="X93">
        <v>2.82043</v>
      </c>
      <c r="Y93">
        <v>0.31012</v>
      </c>
      <c r="Z93">
        <v>-0.0317534</v>
      </c>
      <c r="AA93">
        <v>0.00195914</v>
      </c>
      <c r="AB93">
        <v>0.0544704</v>
      </c>
      <c r="AC93">
        <v>5.69336</v>
      </c>
      <c r="AD93">
        <v>0.31012</v>
      </c>
      <c r="AE93">
        <v>7.47041</v>
      </c>
      <c r="AF93">
        <v>1.31213</v>
      </c>
      <c r="AG93">
        <v>16.5786</v>
      </c>
      <c r="AH93">
        <v>2.45141</v>
      </c>
      <c r="AI93">
        <v>0.33792</v>
      </c>
      <c r="AJ93">
        <v>-0.0281543</v>
      </c>
      <c r="AK93">
        <v>0.00187133</v>
      </c>
      <c r="AL93">
        <v>0.0516103</v>
      </c>
      <c r="AM93">
        <v>6.54753</v>
      </c>
      <c r="AN93">
        <v>0.33792</v>
      </c>
      <c r="AO93">
        <v>8.93134</v>
      </c>
      <c r="AP93">
        <v>1.36408</v>
      </c>
      <c r="AQ93">
        <v>19.0272</v>
      </c>
      <c r="AR93">
        <v>2.54806</v>
      </c>
      <c r="AS93">
        <f t="shared" si="4"/>
        <v>19.5279246743196</v>
      </c>
      <c r="AT93">
        <f t="shared" si="5"/>
        <v>16.5690104166667</v>
      </c>
      <c r="AU93">
        <f t="shared" si="6"/>
        <v>0.457</v>
      </c>
      <c r="AV93">
        <v>-3.47123e-7</v>
      </c>
      <c r="AW93">
        <v>-3.98243e-7</v>
      </c>
      <c r="AX93">
        <v>-1.58799e-7</v>
      </c>
      <c r="AY93">
        <v>-1.408e-7</v>
      </c>
      <c r="AZ93">
        <v>1333670</v>
      </c>
      <c r="BA93">
        <v>-1176000</v>
      </c>
      <c r="BB93">
        <v>1778670</v>
      </c>
      <c r="BC93">
        <v>-41.5333</v>
      </c>
      <c r="BD93">
        <v>2836700</v>
      </c>
      <c r="BE93">
        <f t="shared" si="7"/>
        <v>6.45281340867785</v>
      </c>
      <c r="BF93">
        <v>1.1646e-9</v>
      </c>
      <c r="BG93">
        <v>-8.93382321422799</v>
      </c>
      <c r="BH93">
        <v>0.82123</v>
      </c>
      <c r="BI93">
        <v>2083</v>
      </c>
      <c r="BJ93">
        <v>171840</v>
      </c>
      <c r="BK93">
        <v>5.23512426401946</v>
      </c>
      <c r="BL93">
        <v>2.1726e-9</v>
      </c>
      <c r="BM93">
        <v>-8.48493459007724</v>
      </c>
    </row>
    <row r="94" spans="1:65">
      <c r="A94">
        <v>92</v>
      </c>
      <c r="B94">
        <v>24</v>
      </c>
      <c r="C94" t="s">
        <v>65</v>
      </c>
      <c r="D94">
        <v>0</v>
      </c>
      <c r="E94">
        <v>6.802</v>
      </c>
      <c r="F94">
        <v>0.922593</v>
      </c>
      <c r="G94">
        <v>1.13678</v>
      </c>
      <c r="H94">
        <v>1.40987</v>
      </c>
      <c r="I94">
        <v>4.82456</v>
      </c>
      <c r="J94">
        <v>6.802</v>
      </c>
      <c r="K94">
        <v>7.3727</v>
      </c>
      <c r="L94">
        <v>1.52816</v>
      </c>
      <c r="M94">
        <v>10.0671</v>
      </c>
      <c r="N94">
        <v>2.48774</v>
      </c>
      <c r="O94">
        <v>6.21893</v>
      </c>
      <c r="P94">
        <v>0.674911</v>
      </c>
      <c r="Q94">
        <v>0.999901</v>
      </c>
      <c r="R94">
        <v>1.20632</v>
      </c>
      <c r="S94">
        <v>5.1553</v>
      </c>
      <c r="T94">
        <v>6.21893</v>
      </c>
      <c r="U94">
        <v>9.21445</v>
      </c>
      <c r="V94">
        <v>1.78738</v>
      </c>
      <c r="W94">
        <v>10.2746</v>
      </c>
      <c r="X94">
        <v>2.53597</v>
      </c>
      <c r="Y94">
        <v>0.45148</v>
      </c>
      <c r="Z94">
        <v>0.0533257</v>
      </c>
      <c r="AA94">
        <v>0.00259425</v>
      </c>
      <c r="AB94">
        <v>0.0737385</v>
      </c>
      <c r="AC94">
        <v>6.12272</v>
      </c>
      <c r="AD94">
        <v>0.45148</v>
      </c>
      <c r="AE94">
        <v>8.299</v>
      </c>
      <c r="AF94">
        <v>1.35544</v>
      </c>
      <c r="AG94">
        <v>16.8602</v>
      </c>
      <c r="AH94">
        <v>2.56743</v>
      </c>
      <c r="AI94">
        <v>0.34172</v>
      </c>
      <c r="AJ94">
        <v>-0.0292255</v>
      </c>
      <c r="AK94">
        <v>0.00223736</v>
      </c>
      <c r="AL94">
        <v>0.0555971</v>
      </c>
      <c r="AM94">
        <v>6.14637</v>
      </c>
      <c r="AN94">
        <v>0.34172</v>
      </c>
      <c r="AO94">
        <v>8.14131</v>
      </c>
      <c r="AP94">
        <v>1.32457</v>
      </c>
      <c r="AQ94">
        <v>16.5732</v>
      </c>
      <c r="AR94">
        <v>2.52557</v>
      </c>
      <c r="AS94">
        <f t="shared" si="4"/>
        <v>15.0660051386551</v>
      </c>
      <c r="AT94">
        <f t="shared" si="5"/>
        <v>18.1989055366967</v>
      </c>
      <c r="AU94">
        <f t="shared" si="6"/>
        <v>0.583069999999999</v>
      </c>
      <c r="AV94">
        <v>4.24216e-6</v>
      </c>
      <c r="AW94">
        <v>3.49167e-7</v>
      </c>
      <c r="AX94">
        <v>2.66682e-7</v>
      </c>
      <c r="AY94">
        <v>-1.46156e-7</v>
      </c>
      <c r="AZ94">
        <v>2040330</v>
      </c>
      <c r="BA94">
        <v>-2003670</v>
      </c>
      <c r="BB94">
        <v>2860670</v>
      </c>
      <c r="BC94">
        <v>-44.6333</v>
      </c>
      <c r="BD94">
        <v>5459700</v>
      </c>
      <c r="BE94">
        <f t="shared" si="7"/>
        <v>6.73716877971498</v>
      </c>
      <c r="BF94">
        <v>6.5289e-10</v>
      </c>
      <c r="BG94">
        <v>-9.18515998322289</v>
      </c>
      <c r="BH94">
        <v>0.85055</v>
      </c>
      <c r="BI94">
        <v>6971</v>
      </c>
      <c r="BJ94">
        <v>275380</v>
      </c>
      <c r="BK94">
        <v>5.43993239559757</v>
      </c>
      <c r="BL94">
        <v>5.8358e-10</v>
      </c>
      <c r="BM94">
        <v>-9.84061329903825</v>
      </c>
    </row>
    <row r="95" spans="1:65">
      <c r="A95">
        <v>93</v>
      </c>
      <c r="B95">
        <v>24</v>
      </c>
      <c r="C95" t="s">
        <v>66</v>
      </c>
      <c r="D95">
        <v>1</v>
      </c>
      <c r="E95">
        <v>5.671</v>
      </c>
      <c r="F95">
        <v>0.824066</v>
      </c>
      <c r="G95">
        <v>0.801354</v>
      </c>
      <c r="H95">
        <v>1.21667</v>
      </c>
      <c r="I95">
        <v>4.66109</v>
      </c>
      <c r="J95">
        <v>5.671</v>
      </c>
      <c r="K95">
        <v>6.88173</v>
      </c>
      <c r="L95">
        <v>1.47642</v>
      </c>
      <c r="M95">
        <v>10.2583</v>
      </c>
      <c r="N95">
        <v>2.60725</v>
      </c>
      <c r="O95">
        <v>5.671</v>
      </c>
      <c r="P95">
        <v>0.644868</v>
      </c>
      <c r="Q95">
        <v>0.928764</v>
      </c>
      <c r="R95">
        <v>1.1595</v>
      </c>
      <c r="S95">
        <v>4.89091</v>
      </c>
      <c r="T95">
        <v>5.671</v>
      </c>
      <c r="U95">
        <v>8.79005</v>
      </c>
      <c r="V95">
        <v>1.79722</v>
      </c>
      <c r="W95">
        <v>9.00367</v>
      </c>
      <c r="X95">
        <v>2.338</v>
      </c>
      <c r="Y95">
        <v>0.41376</v>
      </c>
      <c r="Z95">
        <v>0.0394942</v>
      </c>
      <c r="AA95">
        <v>0.00214325</v>
      </c>
      <c r="AB95">
        <v>0.0608491</v>
      </c>
      <c r="AC95">
        <v>6.79977</v>
      </c>
      <c r="AD95">
        <v>0.41376</v>
      </c>
      <c r="AE95">
        <v>10.1801</v>
      </c>
      <c r="AF95">
        <v>1.49713</v>
      </c>
      <c r="AG95">
        <v>18.9637</v>
      </c>
      <c r="AH95">
        <v>3.03604</v>
      </c>
      <c r="AI95">
        <v>0.43268</v>
      </c>
      <c r="AJ95">
        <v>0.0503431</v>
      </c>
      <c r="AK95">
        <v>0.00286786</v>
      </c>
      <c r="AL95">
        <v>0.0734964</v>
      </c>
      <c r="AM95">
        <v>5.88709</v>
      </c>
      <c r="AN95">
        <v>0.43268</v>
      </c>
      <c r="AO95">
        <v>8.33856</v>
      </c>
      <c r="AP95">
        <v>1.41641</v>
      </c>
      <c r="AQ95">
        <v>15.899</v>
      </c>
      <c r="AR95">
        <v>2.55396</v>
      </c>
      <c r="AS95">
        <f t="shared" si="4"/>
        <v>13.7060131477185</v>
      </c>
      <c r="AT95">
        <f t="shared" si="5"/>
        <v>13.1066839234538</v>
      </c>
      <c r="AU95">
        <f t="shared" si="6"/>
        <v>0</v>
      </c>
      <c r="AV95">
        <v>2.93657e-6</v>
      </c>
      <c r="AW95">
        <v>3.34694e-6</v>
      </c>
      <c r="AX95">
        <v>1.97511e-7</v>
      </c>
      <c r="AY95">
        <v>2.51766e-7</v>
      </c>
      <c r="AZ95">
        <v>1228330</v>
      </c>
      <c r="BA95">
        <v>-962867</v>
      </c>
      <c r="BB95">
        <v>1562330</v>
      </c>
      <c r="BC95">
        <v>-38.2667</v>
      </c>
      <c r="BD95">
        <v>2128600</v>
      </c>
      <c r="BE95">
        <f t="shared" si="7"/>
        <v>6.32809405781503</v>
      </c>
      <c r="BF95">
        <v>8.2508e-10</v>
      </c>
      <c r="BG95">
        <v>-9.0835039400875</v>
      </c>
      <c r="BH95">
        <v>0.87718</v>
      </c>
      <c r="BI95">
        <v>3289</v>
      </c>
      <c r="BJ95">
        <v>137690</v>
      </c>
      <c r="BK95">
        <v>5.13890239993359</v>
      </c>
      <c r="BL95">
        <v>1.393e-9</v>
      </c>
      <c r="BM95">
        <v>-8.85558148139793</v>
      </c>
    </row>
    <row r="96" spans="1:65">
      <c r="A96">
        <v>94</v>
      </c>
      <c r="B96">
        <v>24</v>
      </c>
      <c r="C96" t="s">
        <v>67</v>
      </c>
      <c r="D96">
        <v>2</v>
      </c>
      <c r="E96">
        <v>5.677</v>
      </c>
      <c r="F96">
        <v>0.7191</v>
      </c>
      <c r="G96">
        <v>0.824625</v>
      </c>
      <c r="H96">
        <v>1.15826</v>
      </c>
      <c r="I96">
        <v>4.90132</v>
      </c>
      <c r="J96">
        <v>5.677</v>
      </c>
      <c r="K96">
        <v>7.89325</v>
      </c>
      <c r="L96">
        <v>1.61043</v>
      </c>
      <c r="M96">
        <v>10.702</v>
      </c>
      <c r="N96">
        <v>2.67249</v>
      </c>
      <c r="O96">
        <v>5.76193</v>
      </c>
      <c r="P96">
        <v>0.594139</v>
      </c>
      <c r="Q96">
        <v>0.816266</v>
      </c>
      <c r="R96">
        <v>1.08125</v>
      </c>
      <c r="S96">
        <v>5.32895</v>
      </c>
      <c r="T96">
        <v>5.76193</v>
      </c>
      <c r="U96">
        <v>9.69795</v>
      </c>
      <c r="V96">
        <v>1.81986</v>
      </c>
      <c r="W96">
        <v>11.7695</v>
      </c>
      <c r="X96">
        <v>2.78744</v>
      </c>
      <c r="Y96">
        <v>0.42472</v>
      </c>
      <c r="Z96">
        <v>0.0372747</v>
      </c>
      <c r="AA96">
        <v>0.00230094</v>
      </c>
      <c r="AB96">
        <v>0.0607444</v>
      </c>
      <c r="AC96">
        <v>6.99192</v>
      </c>
      <c r="AD96">
        <v>0.42472</v>
      </c>
      <c r="AE96">
        <v>10.822</v>
      </c>
      <c r="AF96">
        <v>1.54779</v>
      </c>
      <c r="AG96">
        <v>22.2298</v>
      </c>
      <c r="AH96">
        <v>3.35605</v>
      </c>
      <c r="AI96">
        <v>0.417</v>
      </c>
      <c r="AJ96">
        <v>0.0414195</v>
      </c>
      <c r="AK96">
        <v>0.00228743</v>
      </c>
      <c r="AL96">
        <v>0.0632657</v>
      </c>
      <c r="AM96">
        <v>6.59125</v>
      </c>
      <c r="AN96">
        <v>0.417</v>
      </c>
      <c r="AO96">
        <v>9.83344</v>
      </c>
      <c r="AP96">
        <v>1.49189</v>
      </c>
      <c r="AQ96">
        <v>18.797</v>
      </c>
      <c r="AR96">
        <v>2.97444</v>
      </c>
      <c r="AS96">
        <f t="shared" si="4"/>
        <v>13.3664531926917</v>
      </c>
      <c r="AT96">
        <f t="shared" si="5"/>
        <v>13.8175779376499</v>
      </c>
      <c r="AU96">
        <f t="shared" si="6"/>
        <v>-0.0849300000000008</v>
      </c>
      <c r="AV96">
        <v>2.57497e-6</v>
      </c>
      <c r="AW96">
        <v>2.50898e-6</v>
      </c>
      <c r="AX96">
        <v>1.86411e-7</v>
      </c>
      <c r="AY96">
        <v>2.07139e-7</v>
      </c>
      <c r="AZ96">
        <v>1534000</v>
      </c>
      <c r="BA96">
        <v>-1310670</v>
      </c>
      <c r="BB96">
        <v>2018670</v>
      </c>
      <c r="BC96">
        <v>-40.6333</v>
      </c>
      <c r="BD96">
        <v>3115200</v>
      </c>
      <c r="BE96">
        <f t="shared" si="7"/>
        <v>6.49348593417596</v>
      </c>
      <c r="BF96">
        <v>8.286e-10</v>
      </c>
      <c r="BG96">
        <v>-9.08165507103772</v>
      </c>
      <c r="BH96">
        <v>0.86987</v>
      </c>
      <c r="BI96">
        <v>3786</v>
      </c>
      <c r="BJ96">
        <v>377940</v>
      </c>
      <c r="BK96">
        <v>5.57742285873352</v>
      </c>
      <c r="BL96">
        <v>5.2352e-10</v>
      </c>
      <c r="BM96">
        <v>-10.2432194044931</v>
      </c>
    </row>
    <row r="97" spans="1:65">
      <c r="A97">
        <v>95</v>
      </c>
      <c r="B97">
        <v>24</v>
      </c>
      <c r="C97" t="s">
        <v>68</v>
      </c>
      <c r="D97">
        <v>3</v>
      </c>
      <c r="E97">
        <v>5.852</v>
      </c>
      <c r="F97">
        <v>0.824726</v>
      </c>
      <c r="G97">
        <v>0.802279</v>
      </c>
      <c r="H97">
        <v>1.21749</v>
      </c>
      <c r="I97">
        <v>4.80659</v>
      </c>
      <c r="J97">
        <v>5.852</v>
      </c>
      <c r="K97">
        <v>7.09569</v>
      </c>
      <c r="L97">
        <v>1.47624</v>
      </c>
      <c r="M97">
        <v>10.6595</v>
      </c>
      <c r="N97">
        <v>2.58944</v>
      </c>
      <c r="O97">
        <v>5.72553</v>
      </c>
      <c r="P97">
        <v>0.68028</v>
      </c>
      <c r="Q97">
        <v>0.780011</v>
      </c>
      <c r="R97">
        <v>1.11474</v>
      </c>
      <c r="S97">
        <v>5.13623</v>
      </c>
      <c r="T97">
        <v>5.72553</v>
      </c>
      <c r="U97">
        <v>8.41644</v>
      </c>
      <c r="V97">
        <v>1.63864</v>
      </c>
      <c r="W97">
        <v>11.2419</v>
      </c>
      <c r="X97">
        <v>2.67309</v>
      </c>
      <c r="Y97">
        <v>0.47736</v>
      </c>
      <c r="Z97">
        <v>0.0715922</v>
      </c>
      <c r="AA97">
        <v>0.00240338</v>
      </c>
      <c r="AB97">
        <v>0.0867661</v>
      </c>
      <c r="AC97">
        <v>5.50169</v>
      </c>
      <c r="AD97">
        <v>0.47736</v>
      </c>
      <c r="AE97">
        <v>6.66776</v>
      </c>
      <c r="AF97">
        <v>1.21195</v>
      </c>
      <c r="AG97">
        <v>23.3109</v>
      </c>
      <c r="AH97">
        <v>3.21146</v>
      </c>
      <c r="AI97">
        <v>0.43512</v>
      </c>
      <c r="AJ97">
        <v>0.0519411</v>
      </c>
      <c r="AK97">
        <v>0.00235718</v>
      </c>
      <c r="AL97">
        <v>0.0710956</v>
      </c>
      <c r="AM97">
        <v>6.12021</v>
      </c>
      <c r="AN97">
        <v>0.43512</v>
      </c>
      <c r="AO97">
        <v>8.2998</v>
      </c>
      <c r="AP97">
        <v>1.35613</v>
      </c>
      <c r="AQ97">
        <v>16.9542</v>
      </c>
      <c r="AR97">
        <v>2.64587</v>
      </c>
      <c r="AS97">
        <f t="shared" si="4"/>
        <v>12.2590916708564</v>
      </c>
      <c r="AT97">
        <f t="shared" si="5"/>
        <v>13.1585079977937</v>
      </c>
      <c r="AU97">
        <f t="shared" si="6"/>
        <v>0.12647</v>
      </c>
      <c r="AV97">
        <v>4.22245e-6</v>
      </c>
      <c r="AW97">
        <v>3.10977e-6</v>
      </c>
      <c r="AX97">
        <v>3.58033e-7</v>
      </c>
      <c r="AY97">
        <v>2.59757e-7</v>
      </c>
      <c r="AZ97">
        <v>1581670</v>
      </c>
      <c r="BA97">
        <v>-1411000</v>
      </c>
      <c r="BB97">
        <v>2121330</v>
      </c>
      <c r="BC97">
        <v>-41.9</v>
      </c>
      <c r="BD97">
        <v>3526100</v>
      </c>
      <c r="BE97">
        <f t="shared" si="7"/>
        <v>6.54729462470532</v>
      </c>
      <c r="BF97">
        <v>7.828e-10</v>
      </c>
      <c r="BG97">
        <v>-9.10634918301404</v>
      </c>
      <c r="BH97">
        <v>0.8618</v>
      </c>
      <c r="BI97">
        <v>2487</v>
      </c>
      <c r="BJ97">
        <v>232060</v>
      </c>
      <c r="BK97">
        <v>5.36560028790801</v>
      </c>
      <c r="BL97">
        <v>6.8515e-10</v>
      </c>
      <c r="BM97">
        <v>-9.95299786948149</v>
      </c>
    </row>
    <row r="98" spans="1:65">
      <c r="A98">
        <v>96</v>
      </c>
      <c r="B98">
        <v>25</v>
      </c>
      <c r="C98" t="s">
        <v>65</v>
      </c>
      <c r="D98">
        <v>0</v>
      </c>
      <c r="E98">
        <v>4.94987</v>
      </c>
      <c r="F98">
        <v>0.392822</v>
      </c>
      <c r="G98">
        <v>0.514534</v>
      </c>
      <c r="H98">
        <v>0.817765</v>
      </c>
      <c r="I98">
        <v>6.05292</v>
      </c>
      <c r="J98">
        <v>4.94987</v>
      </c>
      <c r="K98">
        <v>12.6008</v>
      </c>
      <c r="L98">
        <v>2.08177</v>
      </c>
      <c r="M98">
        <v>15.4804</v>
      </c>
      <c r="N98">
        <v>3.33611</v>
      </c>
      <c r="O98">
        <v>4.264</v>
      </c>
      <c r="P98">
        <v>0.314785</v>
      </c>
      <c r="Q98">
        <v>0.282984</v>
      </c>
      <c r="R98">
        <v>0.618076</v>
      </c>
      <c r="S98">
        <v>6.89883</v>
      </c>
      <c r="T98">
        <v>4.264</v>
      </c>
      <c r="U98">
        <v>13.5458</v>
      </c>
      <c r="V98">
        <v>1.96349</v>
      </c>
      <c r="W98">
        <v>24.7529</v>
      </c>
      <c r="X98">
        <v>4.37899</v>
      </c>
      <c r="Y98">
        <v>0.34612</v>
      </c>
      <c r="Z98">
        <v>-0.0329915</v>
      </c>
      <c r="AA98">
        <v>0.00246912</v>
      </c>
      <c r="AB98">
        <v>0.0596411</v>
      </c>
      <c r="AC98">
        <v>5.80338</v>
      </c>
      <c r="AD98">
        <v>0.34612</v>
      </c>
      <c r="AE98">
        <v>7.7805</v>
      </c>
      <c r="AF98">
        <v>1.34068</v>
      </c>
      <c r="AG98">
        <v>23.3484</v>
      </c>
      <c r="AH98">
        <v>3.32112</v>
      </c>
      <c r="AI98">
        <v>0.41324</v>
      </c>
      <c r="AJ98">
        <v>-0.0289961</v>
      </c>
      <c r="AK98">
        <v>0.00282943</v>
      </c>
      <c r="AL98">
        <v>0.0605775</v>
      </c>
      <c r="AM98">
        <v>6.82168</v>
      </c>
      <c r="AN98">
        <v>0.41324</v>
      </c>
      <c r="AO98">
        <v>9.97234</v>
      </c>
      <c r="AP98">
        <v>1.46186</v>
      </c>
      <c r="AQ98">
        <v>29.013</v>
      </c>
      <c r="AR98">
        <v>3.90119</v>
      </c>
      <c r="AS98">
        <f t="shared" si="4"/>
        <v>14.3010227666705</v>
      </c>
      <c r="AT98">
        <f t="shared" si="5"/>
        <v>10.3184590068725</v>
      </c>
      <c r="AU98">
        <f t="shared" si="6"/>
        <v>0.68587</v>
      </c>
      <c r="AV98">
        <v>3.67468e-7</v>
      </c>
      <c r="AW98">
        <v>4.11682e-7</v>
      </c>
      <c r="AX98">
        <v>-1.6499e-7</v>
      </c>
      <c r="AY98">
        <v>-1.45009e-7</v>
      </c>
      <c r="AZ98">
        <v>330833</v>
      </c>
      <c r="BA98">
        <v>-93480</v>
      </c>
      <c r="BB98">
        <v>343867</v>
      </c>
      <c r="BC98">
        <v>-15.8333</v>
      </c>
      <c r="BD98">
        <v>389950</v>
      </c>
      <c r="BE98">
        <f t="shared" si="7"/>
        <v>5.59100892467731</v>
      </c>
      <c r="BF98">
        <v>7.8247e-9</v>
      </c>
      <c r="BG98">
        <v>-8.10653230436837</v>
      </c>
      <c r="BH98">
        <v>0.68788</v>
      </c>
      <c r="BI98">
        <v>2104</v>
      </c>
      <c r="BJ98">
        <v>16095</v>
      </c>
      <c r="BK98">
        <v>4.20669098102163</v>
      </c>
      <c r="BL98">
        <v>1.0394e-9</v>
      </c>
      <c r="BM98">
        <v>-9.34743458430147</v>
      </c>
    </row>
    <row r="99" spans="1:65">
      <c r="A99">
        <v>97</v>
      </c>
      <c r="B99">
        <v>25</v>
      </c>
      <c r="C99" t="s">
        <v>66</v>
      </c>
      <c r="D99">
        <v>1</v>
      </c>
      <c r="E99">
        <v>4.733</v>
      </c>
      <c r="F99">
        <v>0.51361</v>
      </c>
      <c r="G99">
        <v>0.534411</v>
      </c>
      <c r="H99">
        <v>0.893364</v>
      </c>
      <c r="I99">
        <v>5.29795</v>
      </c>
      <c r="J99">
        <v>4.733</v>
      </c>
      <c r="K99">
        <v>9.21517</v>
      </c>
      <c r="L99">
        <v>1.73938</v>
      </c>
      <c r="M99">
        <v>12.283</v>
      </c>
      <c r="N99">
        <v>2.90062</v>
      </c>
      <c r="O99">
        <v>3.476</v>
      </c>
      <c r="P99">
        <v>0.25711</v>
      </c>
      <c r="Q99">
        <v>0.192501</v>
      </c>
      <c r="R99">
        <v>0.508496</v>
      </c>
      <c r="S99">
        <v>6.83585</v>
      </c>
      <c r="T99">
        <v>3.476</v>
      </c>
      <c r="U99">
        <v>13.5195</v>
      </c>
      <c r="V99">
        <v>1.97774</v>
      </c>
      <c r="W99">
        <v>22.4315</v>
      </c>
      <c r="X99">
        <v>4.10498</v>
      </c>
      <c r="Y99">
        <v>0.34668</v>
      </c>
      <c r="Z99">
        <v>-0.0312359</v>
      </c>
      <c r="AA99">
        <v>0.00238915</v>
      </c>
      <c r="AB99">
        <v>0.0580031</v>
      </c>
      <c r="AC99">
        <v>5.97692</v>
      </c>
      <c r="AD99">
        <v>0.34668</v>
      </c>
      <c r="AE99">
        <v>8.03599</v>
      </c>
      <c r="AF99">
        <v>1.3445</v>
      </c>
      <c r="AG99">
        <v>21.7061</v>
      </c>
      <c r="AH99">
        <v>3.04873</v>
      </c>
      <c r="AI99">
        <v>0.4396</v>
      </c>
      <c r="AJ99">
        <v>-0.0477898</v>
      </c>
      <c r="AK99">
        <v>0.00297163</v>
      </c>
      <c r="AL99">
        <v>0.0724908</v>
      </c>
      <c r="AM99">
        <v>6.06422</v>
      </c>
      <c r="AN99">
        <v>0.4396</v>
      </c>
      <c r="AO99">
        <v>7.58199</v>
      </c>
      <c r="AP99">
        <v>1.25028</v>
      </c>
      <c r="AQ99">
        <v>35.4493</v>
      </c>
      <c r="AR99">
        <v>4.63581</v>
      </c>
      <c r="AS99">
        <f t="shared" si="4"/>
        <v>13.6523595246337</v>
      </c>
      <c r="AT99">
        <f t="shared" si="5"/>
        <v>7.90718835304823</v>
      </c>
      <c r="AU99">
        <f t="shared" si="6"/>
        <v>1.257</v>
      </c>
      <c r="AV99">
        <v>1.98909e-7</v>
      </c>
      <c r="AW99">
        <v>1.25901e-7</v>
      </c>
      <c r="AX99">
        <v>-1.56211e-7</v>
      </c>
      <c r="AY99">
        <v>-2.38997e-7</v>
      </c>
      <c r="AZ99">
        <v>344500</v>
      </c>
      <c r="BA99">
        <v>-165000</v>
      </c>
      <c r="BB99">
        <v>382067</v>
      </c>
      <c r="BC99">
        <v>-25.7</v>
      </c>
      <c r="BD99">
        <v>493080</v>
      </c>
      <c r="BE99">
        <f t="shared" si="7"/>
        <v>5.6929173873095</v>
      </c>
      <c r="BF99">
        <v>6.051e-9</v>
      </c>
      <c r="BG99">
        <v>-8.21817284706757</v>
      </c>
      <c r="BH99">
        <v>0.74727</v>
      </c>
      <c r="BI99">
        <v>2176</v>
      </c>
      <c r="BJ99">
        <v>6022</v>
      </c>
      <c r="BK99">
        <v>3.77974075117674</v>
      </c>
      <c r="BL99">
        <v>2.0975e-9</v>
      </c>
      <c r="BM99">
        <v>-8.98615200412817</v>
      </c>
    </row>
    <row r="100" spans="1:65">
      <c r="A100">
        <v>98</v>
      </c>
      <c r="B100">
        <v>25</v>
      </c>
      <c r="C100" t="s">
        <v>67</v>
      </c>
      <c r="D100">
        <v>2</v>
      </c>
      <c r="E100">
        <v>4.15</v>
      </c>
      <c r="F100">
        <v>0.218824</v>
      </c>
      <c r="G100">
        <v>0.262798</v>
      </c>
      <c r="H100">
        <v>0.557342</v>
      </c>
      <c r="I100">
        <v>7.44606</v>
      </c>
      <c r="J100">
        <v>4.15</v>
      </c>
      <c r="K100">
        <v>18.7839</v>
      </c>
      <c r="L100">
        <v>2.52267</v>
      </c>
      <c r="M100">
        <v>27.334</v>
      </c>
      <c r="N100">
        <v>4.623</v>
      </c>
      <c r="O100">
        <v>4.15</v>
      </c>
      <c r="P100">
        <v>0.249278</v>
      </c>
      <c r="Q100">
        <v>0.233864</v>
      </c>
      <c r="R100">
        <v>0.544019</v>
      </c>
      <c r="S100">
        <v>7.62841</v>
      </c>
      <c r="T100">
        <v>4.15</v>
      </c>
      <c r="U100">
        <v>16.6481</v>
      </c>
      <c r="V100">
        <v>2.18238</v>
      </c>
      <c r="W100">
        <v>31.4466</v>
      </c>
      <c r="X100">
        <v>5.03322</v>
      </c>
      <c r="Y100">
        <v>0.458</v>
      </c>
      <c r="Z100">
        <v>-0.0310012</v>
      </c>
      <c r="AA100">
        <v>0.00287418</v>
      </c>
      <c r="AB100">
        <v>0.0619248</v>
      </c>
      <c r="AC100">
        <v>7.39607</v>
      </c>
      <c r="AD100">
        <v>0.458</v>
      </c>
      <c r="AE100">
        <v>10.7631</v>
      </c>
      <c r="AF100">
        <v>1.45525</v>
      </c>
      <c r="AG100">
        <v>32.9295</v>
      </c>
      <c r="AH100">
        <v>4.24526</v>
      </c>
      <c r="AI100">
        <v>0.41432</v>
      </c>
      <c r="AJ100">
        <v>-0.0526631</v>
      </c>
      <c r="AK100">
        <v>0.00279796</v>
      </c>
      <c r="AL100">
        <v>0.0746378</v>
      </c>
      <c r="AM100">
        <v>5.55107</v>
      </c>
      <c r="AN100">
        <v>0.41432</v>
      </c>
      <c r="AO100">
        <v>6.68003</v>
      </c>
      <c r="AP100">
        <v>1.20338</v>
      </c>
      <c r="AQ100">
        <v>34.2497</v>
      </c>
      <c r="AR100">
        <v>4.50822</v>
      </c>
      <c r="AS100">
        <f t="shared" si="4"/>
        <v>9.06113537117904</v>
      </c>
      <c r="AT100">
        <f t="shared" si="5"/>
        <v>10.016412434833</v>
      </c>
      <c r="AU100">
        <f t="shared" si="6"/>
        <v>0</v>
      </c>
      <c r="AV100">
        <v>5.20194e-7</v>
      </c>
      <c r="AW100">
        <v>1.96818e-7</v>
      </c>
      <c r="AX100">
        <v>-1.55037e-7</v>
      </c>
      <c r="AY100">
        <v>-2.63368e-7</v>
      </c>
      <c r="AZ100">
        <v>344133</v>
      </c>
      <c r="BA100">
        <v>-71513.3</v>
      </c>
      <c r="BB100">
        <v>353133</v>
      </c>
      <c r="BC100">
        <v>-12.1667</v>
      </c>
      <c r="BD100">
        <v>238820</v>
      </c>
      <c r="BE100">
        <f t="shared" si="7"/>
        <v>5.37807069400644</v>
      </c>
      <c r="BF100">
        <v>3.4995e-9</v>
      </c>
      <c r="BG100">
        <v>-8.45599400215057</v>
      </c>
      <c r="BH100">
        <v>0.73998</v>
      </c>
      <c r="BI100">
        <v>2063</v>
      </c>
      <c r="BJ100">
        <v>980030000000</v>
      </c>
      <c r="BK100">
        <v>11.991239370218</v>
      </c>
      <c r="BL100">
        <v>7.6407e-9</v>
      </c>
      <c r="BM100">
        <v>-8.398602813274</v>
      </c>
    </row>
    <row r="101" spans="1:65">
      <c r="A101">
        <v>99</v>
      </c>
      <c r="B101">
        <v>25</v>
      </c>
      <c r="C101" t="s">
        <v>68</v>
      </c>
      <c r="D101">
        <v>3</v>
      </c>
      <c r="E101">
        <v>5.521</v>
      </c>
      <c r="F101">
        <v>0.599495</v>
      </c>
      <c r="G101">
        <v>0.756415</v>
      </c>
      <c r="H101">
        <v>1.05625</v>
      </c>
      <c r="I101">
        <v>5.227</v>
      </c>
      <c r="J101">
        <v>5.521</v>
      </c>
      <c r="K101">
        <v>9.20942</v>
      </c>
      <c r="L101">
        <v>1.7619</v>
      </c>
      <c r="M101">
        <v>11.2353</v>
      </c>
      <c r="N101">
        <v>2.73231</v>
      </c>
      <c r="O101">
        <v>5.196</v>
      </c>
      <c r="P101">
        <v>0.57616</v>
      </c>
      <c r="Q101">
        <v>0.644719</v>
      </c>
      <c r="R101">
        <v>0.988205</v>
      </c>
      <c r="S101">
        <v>5.25802</v>
      </c>
      <c r="T101">
        <v>5.196</v>
      </c>
      <c r="U101">
        <v>9.01833</v>
      </c>
      <c r="V101">
        <v>1.71516</v>
      </c>
      <c r="W101">
        <v>11.6588</v>
      </c>
      <c r="X101">
        <v>2.77619</v>
      </c>
      <c r="Y101">
        <v>0.33832</v>
      </c>
      <c r="Z101">
        <v>-0.0400618</v>
      </c>
      <c r="AA101">
        <v>0.00227444</v>
      </c>
      <c r="AB101">
        <v>0.062281</v>
      </c>
      <c r="AC101">
        <v>5.43215</v>
      </c>
      <c r="AD101">
        <v>0.33832</v>
      </c>
      <c r="AE101">
        <v>6.71113</v>
      </c>
      <c r="AF101">
        <v>1.23545</v>
      </c>
      <c r="AG101">
        <v>17.9892</v>
      </c>
      <c r="AH101">
        <v>2.74544</v>
      </c>
      <c r="AI101">
        <v>0.33776</v>
      </c>
      <c r="AJ101">
        <v>-0.0376603</v>
      </c>
      <c r="AK101">
        <v>0.00245608</v>
      </c>
      <c r="AL101">
        <v>0.0622406</v>
      </c>
      <c r="AM101">
        <v>5.42668</v>
      </c>
      <c r="AN101">
        <v>0.33776</v>
      </c>
      <c r="AO101">
        <v>6.9584</v>
      </c>
      <c r="AP101">
        <v>1.28226</v>
      </c>
      <c r="AQ101">
        <v>23.6806</v>
      </c>
      <c r="AR101">
        <v>3.37019</v>
      </c>
      <c r="AS101">
        <f t="shared" si="4"/>
        <v>16.3188697091511</v>
      </c>
      <c r="AT101">
        <f t="shared" si="5"/>
        <v>15.383704405495</v>
      </c>
      <c r="AU101">
        <f t="shared" si="6"/>
        <v>0.325</v>
      </c>
      <c r="AV101">
        <v>4.5863e-8</v>
      </c>
      <c r="AW101">
        <v>-1.4331e-8</v>
      </c>
      <c r="AX101">
        <v>-2.00349e-7</v>
      </c>
      <c r="AY101">
        <v>-1.88339e-7</v>
      </c>
      <c r="AZ101">
        <v>1119230</v>
      </c>
      <c r="BA101">
        <v>-994633</v>
      </c>
      <c r="BB101">
        <v>1499330</v>
      </c>
      <c r="BC101">
        <v>-41.7667</v>
      </c>
      <c r="BD101">
        <v>293620</v>
      </c>
      <c r="BE101">
        <f t="shared" si="7"/>
        <v>5.46778563432922</v>
      </c>
      <c r="BF101">
        <v>1.5855e-9</v>
      </c>
      <c r="BG101">
        <v>-8.79983375363689</v>
      </c>
      <c r="BH101">
        <v>0.84485</v>
      </c>
      <c r="BI101">
        <v>6062</v>
      </c>
      <c r="BJ101">
        <v>1419100</v>
      </c>
      <c r="BK101">
        <v>6.15201300005083</v>
      </c>
      <c r="BL101">
        <v>3.6547e-10</v>
      </c>
      <c r="BM101">
        <v>-10.0989505546566</v>
      </c>
    </row>
    <row r="102" spans="1:65">
      <c r="A102">
        <v>100</v>
      </c>
      <c r="B102">
        <v>26</v>
      </c>
      <c r="C102" t="s">
        <v>65</v>
      </c>
      <c r="D102">
        <v>0</v>
      </c>
      <c r="E102">
        <v>6.483</v>
      </c>
      <c r="F102">
        <v>0.690561</v>
      </c>
      <c r="G102">
        <v>1.07483</v>
      </c>
      <c r="H102">
        <v>1.24559</v>
      </c>
      <c r="I102">
        <v>5.20478</v>
      </c>
      <c r="J102">
        <v>6.483</v>
      </c>
      <c r="K102">
        <v>9.3758</v>
      </c>
      <c r="L102">
        <v>1.80138</v>
      </c>
      <c r="M102">
        <v>10.9939</v>
      </c>
      <c r="N102">
        <v>2.67806</v>
      </c>
      <c r="O102">
        <v>6.844</v>
      </c>
      <c r="P102">
        <v>0.68507</v>
      </c>
      <c r="Q102">
        <v>1.16364</v>
      </c>
      <c r="R102">
        <v>1.27778</v>
      </c>
      <c r="S102">
        <v>5.35615</v>
      </c>
      <c r="T102">
        <v>6.844</v>
      </c>
      <c r="U102">
        <v>9.99021</v>
      </c>
      <c r="V102">
        <v>1.86519</v>
      </c>
      <c r="W102">
        <v>11.6046</v>
      </c>
      <c r="X102">
        <v>2.7716</v>
      </c>
      <c r="Y102">
        <v>0.35064</v>
      </c>
      <c r="Z102">
        <v>0.0134764</v>
      </c>
      <c r="AA102">
        <v>0.00195591</v>
      </c>
      <c r="AB102">
        <v>0.0462291</v>
      </c>
      <c r="AC102">
        <v>7.58483</v>
      </c>
      <c r="AD102">
        <v>0.35064</v>
      </c>
      <c r="AE102">
        <v>13.6118</v>
      </c>
      <c r="AF102">
        <v>1.79461</v>
      </c>
      <c r="AG102">
        <v>21.1627</v>
      </c>
      <c r="AH102">
        <v>3.07244</v>
      </c>
      <c r="AI102">
        <v>0.35864</v>
      </c>
      <c r="AJ102">
        <v>0.00745067</v>
      </c>
      <c r="AK102">
        <v>0.00211321</v>
      </c>
      <c r="AL102">
        <v>0.046565</v>
      </c>
      <c r="AM102">
        <v>7.70191</v>
      </c>
      <c r="AN102">
        <v>0.35864</v>
      </c>
      <c r="AO102">
        <v>13.908</v>
      </c>
      <c r="AP102">
        <v>1.80579</v>
      </c>
      <c r="AQ102">
        <v>19.5769</v>
      </c>
      <c r="AR102">
        <v>2.97741</v>
      </c>
      <c r="AS102">
        <f t="shared" si="4"/>
        <v>18.4890485968515</v>
      </c>
      <c r="AT102">
        <f t="shared" si="5"/>
        <v>19.0832032121347</v>
      </c>
      <c r="AU102">
        <f t="shared" si="6"/>
        <v>-0.361000000000001</v>
      </c>
      <c r="AV102">
        <v>1.97969e-6</v>
      </c>
      <c r="AW102">
        <v>1.99316e-6</v>
      </c>
      <c r="AX102">
        <v>6.73952e-8</v>
      </c>
      <c r="AY102">
        <v>3.72608e-8</v>
      </c>
      <c r="AZ102">
        <v>1489000</v>
      </c>
      <c r="BA102">
        <v>-1156670</v>
      </c>
      <c r="BB102">
        <v>1887000</v>
      </c>
      <c r="BC102">
        <v>-38</v>
      </c>
      <c r="BD102">
        <v>3684700</v>
      </c>
      <c r="BE102">
        <f t="shared" si="7"/>
        <v>6.56640213435292</v>
      </c>
      <c r="BF102">
        <v>1.8203e-9</v>
      </c>
      <c r="BG102">
        <v>-8.73985703091179</v>
      </c>
      <c r="BH102">
        <v>0.75193</v>
      </c>
      <c r="BI102">
        <v>5987</v>
      </c>
      <c r="BJ102">
        <v>152680</v>
      </c>
      <c r="BK102">
        <v>5.18378215127706</v>
      </c>
      <c r="BL102">
        <v>7.2035e-10</v>
      </c>
      <c r="BM102">
        <v>-10.0303371878036</v>
      </c>
    </row>
    <row r="103" spans="1:65">
      <c r="A103">
        <v>101</v>
      </c>
      <c r="B103">
        <v>26</v>
      </c>
      <c r="C103" t="s">
        <v>66</v>
      </c>
      <c r="D103">
        <v>1</v>
      </c>
      <c r="E103">
        <v>6.65173</v>
      </c>
      <c r="F103">
        <v>0.973726</v>
      </c>
      <c r="G103">
        <v>1.07932</v>
      </c>
      <c r="H103">
        <v>1.42381</v>
      </c>
      <c r="I103">
        <v>4.67178</v>
      </c>
      <c r="J103">
        <v>6.65173</v>
      </c>
      <c r="K103">
        <v>6.83122</v>
      </c>
      <c r="L103">
        <v>1.46223</v>
      </c>
      <c r="M103">
        <v>10.57</v>
      </c>
      <c r="N103">
        <v>2.66104</v>
      </c>
      <c r="O103">
        <v>6.561</v>
      </c>
      <c r="P103">
        <v>0.947283</v>
      </c>
      <c r="Q103">
        <v>0.997305</v>
      </c>
      <c r="R103">
        <v>1.37639</v>
      </c>
      <c r="S103">
        <v>4.76682</v>
      </c>
      <c r="T103">
        <v>6.561</v>
      </c>
      <c r="U103">
        <v>6.92613</v>
      </c>
      <c r="V103">
        <v>1.45299</v>
      </c>
      <c r="W103">
        <v>11.0635</v>
      </c>
      <c r="X103">
        <v>2.68706</v>
      </c>
      <c r="Y103">
        <v>0.31636</v>
      </c>
      <c r="Z103">
        <v>0.00553961</v>
      </c>
      <c r="AA103">
        <v>0.00163455</v>
      </c>
      <c r="AB103">
        <v>0.0408033</v>
      </c>
      <c r="AC103">
        <v>7.75329</v>
      </c>
      <c r="AD103">
        <v>0.31636</v>
      </c>
      <c r="AE103">
        <v>13.436</v>
      </c>
      <c r="AF103">
        <v>1.73294</v>
      </c>
      <c r="AG103">
        <v>20.2811</v>
      </c>
      <c r="AH103">
        <v>2.86996</v>
      </c>
      <c r="AI103">
        <v>0.34924</v>
      </c>
      <c r="AJ103">
        <v>0.0071343</v>
      </c>
      <c r="AK103">
        <v>0.00183009</v>
      </c>
      <c r="AL103">
        <v>0.0433661</v>
      </c>
      <c r="AM103">
        <v>8.05329</v>
      </c>
      <c r="AN103">
        <v>0.34924</v>
      </c>
      <c r="AO103">
        <v>13.5946</v>
      </c>
      <c r="AP103">
        <v>1.68809</v>
      </c>
      <c r="AQ103">
        <v>22.1977</v>
      </c>
      <c r="AR103">
        <v>2.92736</v>
      </c>
      <c r="AS103">
        <f t="shared" si="4"/>
        <v>21.0258250094829</v>
      </c>
      <c r="AT103">
        <f t="shared" si="5"/>
        <v>18.7865078456076</v>
      </c>
      <c r="AU103">
        <f t="shared" si="6"/>
        <v>0.0907299999999998</v>
      </c>
      <c r="AV103">
        <v>1.51915e-6</v>
      </c>
      <c r="AW103">
        <v>1.51914e-6</v>
      </c>
      <c r="AX103">
        <v>2.77036e-8</v>
      </c>
      <c r="AY103">
        <v>3.56786e-8</v>
      </c>
      <c r="AZ103">
        <v>2011000</v>
      </c>
      <c r="BA103">
        <v>-1852330</v>
      </c>
      <c r="BB103">
        <v>2736330</v>
      </c>
      <c r="BC103">
        <v>-42.8</v>
      </c>
      <c r="BD103">
        <v>4592500</v>
      </c>
      <c r="BE103">
        <f t="shared" si="7"/>
        <v>6.66204916497785</v>
      </c>
      <c r="BF103">
        <v>8.3168e-10</v>
      </c>
      <c r="BG103">
        <v>-9.08004374217908</v>
      </c>
      <c r="BH103">
        <v>0.83598</v>
      </c>
      <c r="BI103">
        <v>5661</v>
      </c>
      <c r="BJ103">
        <v>549260</v>
      </c>
      <c r="BK103">
        <v>5.73977797256621</v>
      </c>
      <c r="BL103">
        <v>4.6818e-10</v>
      </c>
      <c r="BM103">
        <v>-9.90430771716021</v>
      </c>
    </row>
    <row r="104" spans="1:65">
      <c r="A104">
        <v>102</v>
      </c>
      <c r="B104">
        <v>26</v>
      </c>
      <c r="C104" t="s">
        <v>67</v>
      </c>
      <c r="D104">
        <v>2</v>
      </c>
      <c r="E104">
        <v>7.079</v>
      </c>
      <c r="F104">
        <v>0.75638</v>
      </c>
      <c r="G104">
        <v>1.39534</v>
      </c>
      <c r="H104">
        <v>1.40256</v>
      </c>
      <c r="I104">
        <v>5.0472</v>
      </c>
      <c r="J104">
        <v>7.079</v>
      </c>
      <c r="K104">
        <v>9.16928</v>
      </c>
      <c r="L104">
        <v>1.81671</v>
      </c>
      <c r="M104">
        <v>9.95388</v>
      </c>
      <c r="N104">
        <v>2.51391</v>
      </c>
      <c r="O104">
        <v>6.495</v>
      </c>
      <c r="P104">
        <v>0.733763</v>
      </c>
      <c r="Q104">
        <v>0.961704</v>
      </c>
      <c r="R104">
        <v>1.22471</v>
      </c>
      <c r="S104">
        <v>5.30329</v>
      </c>
      <c r="T104">
        <v>6.495</v>
      </c>
      <c r="U104">
        <v>8.85163</v>
      </c>
      <c r="V104">
        <v>1.66908</v>
      </c>
      <c r="W104">
        <v>12.9145</v>
      </c>
      <c r="X104">
        <v>2.99815</v>
      </c>
      <c r="Y104">
        <v>0.33704</v>
      </c>
      <c r="Z104">
        <v>0.0134048</v>
      </c>
      <c r="AA104">
        <v>0.0018098</v>
      </c>
      <c r="AB104">
        <v>0.0445996</v>
      </c>
      <c r="AC104">
        <v>7.55701</v>
      </c>
      <c r="AD104">
        <v>0.33704</v>
      </c>
      <c r="AE104">
        <v>13.2385</v>
      </c>
      <c r="AF104">
        <v>1.75182</v>
      </c>
      <c r="AG104">
        <v>17.5649</v>
      </c>
      <c r="AH104">
        <v>2.76526</v>
      </c>
      <c r="AI104">
        <v>0.35636</v>
      </c>
      <c r="AJ104">
        <v>0.0211352</v>
      </c>
      <c r="AK104">
        <v>0.00187855</v>
      </c>
      <c r="AL104">
        <v>0.0482169</v>
      </c>
      <c r="AM104">
        <v>7.39077</v>
      </c>
      <c r="AN104">
        <v>0.35636</v>
      </c>
      <c r="AO104">
        <v>13.0793</v>
      </c>
      <c r="AP104">
        <v>1.76967</v>
      </c>
      <c r="AQ104">
        <v>22.2258</v>
      </c>
      <c r="AR104">
        <v>3.4157</v>
      </c>
      <c r="AS104">
        <f t="shared" si="4"/>
        <v>21.0034417279848</v>
      </c>
      <c r="AT104">
        <f t="shared" si="5"/>
        <v>18.2259512852172</v>
      </c>
      <c r="AU104">
        <f t="shared" si="6"/>
        <v>0.584</v>
      </c>
      <c r="AV104">
        <v>2.27193e-6</v>
      </c>
      <c r="AW104">
        <v>2.1702e-6</v>
      </c>
      <c r="AX104">
        <v>6.70374e-8</v>
      </c>
      <c r="AY104">
        <v>1.05697e-7</v>
      </c>
      <c r="AZ104">
        <v>1961000</v>
      </c>
      <c r="BA104">
        <v>-1838000</v>
      </c>
      <c r="BB104">
        <v>2691000</v>
      </c>
      <c r="BC104">
        <v>-43.3333</v>
      </c>
      <c r="BD104">
        <v>5270600</v>
      </c>
      <c r="BE104">
        <f t="shared" si="7"/>
        <v>6.72186005769009</v>
      </c>
      <c r="BF104">
        <v>8.297e-10</v>
      </c>
      <c r="BG104">
        <v>-9.08107890990866</v>
      </c>
      <c r="BH104">
        <v>0.81956</v>
      </c>
      <c r="BI104">
        <v>7038</v>
      </c>
      <c r="BJ104">
        <v>204080</v>
      </c>
      <c r="BK104">
        <v>5.30980044560173</v>
      </c>
      <c r="BL104">
        <v>9.9687e-10</v>
      </c>
      <c r="BM104">
        <v>-9.37412189395855</v>
      </c>
    </row>
    <row r="105" spans="1:65">
      <c r="A105">
        <v>103</v>
      </c>
      <c r="B105">
        <v>26</v>
      </c>
      <c r="C105" t="s">
        <v>68</v>
      </c>
      <c r="D105">
        <v>3</v>
      </c>
      <c r="E105" s="1">
        <v>7.391</v>
      </c>
      <c r="F105">
        <v>1.01465</v>
      </c>
      <c r="G105">
        <v>1.3582</v>
      </c>
      <c r="H105">
        <v>1.54513</v>
      </c>
      <c r="I105">
        <v>4.7834</v>
      </c>
      <c r="J105">
        <v>7.391</v>
      </c>
      <c r="K105">
        <v>7.28429</v>
      </c>
      <c r="L105">
        <v>1.52283</v>
      </c>
      <c r="M105">
        <v>10.256</v>
      </c>
      <c r="N105">
        <v>2.53672</v>
      </c>
      <c r="O105">
        <v>7.02487</v>
      </c>
      <c r="P105">
        <v>0.967514</v>
      </c>
      <c r="Q105">
        <v>1.06244</v>
      </c>
      <c r="R105">
        <v>1.41362</v>
      </c>
      <c r="S105">
        <v>4.96942</v>
      </c>
      <c r="T105">
        <v>7.02487</v>
      </c>
      <c r="U105">
        <v>7.26074</v>
      </c>
      <c r="V105">
        <v>1.46108</v>
      </c>
      <c r="W105">
        <v>12.594</v>
      </c>
      <c r="X105">
        <v>2.90693</v>
      </c>
      <c r="Y105">
        <v>0.37144</v>
      </c>
      <c r="Z105">
        <v>0.0321048</v>
      </c>
      <c r="AA105">
        <v>0.00194863</v>
      </c>
      <c r="AB105">
        <v>0.0545798</v>
      </c>
      <c r="AC105">
        <v>6.80545</v>
      </c>
      <c r="AD105">
        <v>0.37144</v>
      </c>
      <c r="AE105">
        <v>10.6729</v>
      </c>
      <c r="AF105">
        <v>1.56829</v>
      </c>
      <c r="AG105">
        <v>18.3346</v>
      </c>
      <c r="AH105">
        <v>2.99972</v>
      </c>
      <c r="AI105">
        <v>0.36732</v>
      </c>
      <c r="AJ105">
        <v>0.0329397</v>
      </c>
      <c r="AK105">
        <v>0.00188131</v>
      </c>
      <c r="AL105">
        <v>0.0544606</v>
      </c>
      <c r="AM105">
        <v>6.74469</v>
      </c>
      <c r="AN105">
        <v>0.36732</v>
      </c>
      <c r="AO105">
        <v>10.3518</v>
      </c>
      <c r="AP105">
        <v>1.5348</v>
      </c>
      <c r="AQ105">
        <v>17.0974</v>
      </c>
      <c r="AR105">
        <v>2.92187</v>
      </c>
      <c r="AS105">
        <f t="shared" si="4"/>
        <v>19.8982339004954</v>
      </c>
      <c r="AT105">
        <f t="shared" si="5"/>
        <v>19.1246596972667</v>
      </c>
      <c r="AU105">
        <f t="shared" si="6"/>
        <v>0.36613</v>
      </c>
      <c r="AV105">
        <v>3.37495e-6</v>
      </c>
      <c r="AW105">
        <v>2.9949e-6</v>
      </c>
      <c r="AX105">
        <v>1.60556e-7</v>
      </c>
      <c r="AY105">
        <v>1.64731e-7</v>
      </c>
      <c r="AZ105">
        <v>2019330</v>
      </c>
      <c r="BA105">
        <v>-2268330</v>
      </c>
      <c r="BB105">
        <v>3039000</v>
      </c>
      <c r="BC105">
        <v>-48.4333</v>
      </c>
      <c r="BD105">
        <v>7235900</v>
      </c>
      <c r="BE105">
        <f t="shared" si="7"/>
        <v>6.85949255628779</v>
      </c>
      <c r="BF105">
        <v>6.5519e-10</v>
      </c>
      <c r="BG105">
        <v>-9.18363273972438</v>
      </c>
      <c r="BH105">
        <v>0.83601</v>
      </c>
      <c r="BI105">
        <v>7017</v>
      </c>
      <c r="BJ105">
        <v>333210</v>
      </c>
      <c r="BK105">
        <v>5.52271802658724</v>
      </c>
      <c r="BL105">
        <v>3.5968e-10</v>
      </c>
      <c r="BM105">
        <v>-10.3505969838253</v>
      </c>
    </row>
    <row r="106" spans="1:65">
      <c r="A106">
        <v>104</v>
      </c>
      <c r="B106">
        <v>27</v>
      </c>
      <c r="C106" t="s">
        <v>65</v>
      </c>
      <c r="D106">
        <v>0</v>
      </c>
      <c r="E106">
        <v>6.934</v>
      </c>
      <c r="F106">
        <v>0.912962</v>
      </c>
      <c r="G106">
        <v>1.4623</v>
      </c>
      <c r="H106">
        <v>1.51509</v>
      </c>
      <c r="I106">
        <v>4.57662</v>
      </c>
      <c r="J106">
        <v>6.934</v>
      </c>
      <c r="K106">
        <v>7.56533</v>
      </c>
      <c r="L106">
        <v>1.65304</v>
      </c>
      <c r="M106">
        <v>7.97553</v>
      </c>
      <c r="N106">
        <v>2.15243</v>
      </c>
      <c r="O106">
        <v>6.71793</v>
      </c>
      <c r="P106">
        <v>0.971552</v>
      </c>
      <c r="Q106">
        <v>1.19692</v>
      </c>
      <c r="R106">
        <v>1.46308</v>
      </c>
      <c r="S106">
        <v>4.59164</v>
      </c>
      <c r="T106">
        <v>6.71793</v>
      </c>
      <c r="U106">
        <v>6.91464</v>
      </c>
      <c r="V106">
        <v>1.50592</v>
      </c>
      <c r="W106">
        <v>9.10351</v>
      </c>
      <c r="X106">
        <v>2.3478</v>
      </c>
      <c r="Y106">
        <v>0.37776</v>
      </c>
      <c r="Z106">
        <v>0.051794</v>
      </c>
      <c r="AA106">
        <v>0.00256022</v>
      </c>
      <c r="AB106">
        <v>0.0724039</v>
      </c>
      <c r="AC106">
        <v>5.2174</v>
      </c>
      <c r="AD106">
        <v>0.37776</v>
      </c>
      <c r="AE106">
        <v>7.09836</v>
      </c>
      <c r="AF106">
        <v>1.36052</v>
      </c>
      <c r="AG106">
        <v>9.83565</v>
      </c>
      <c r="AH106">
        <v>1.78181</v>
      </c>
      <c r="AI106">
        <v>0.41392</v>
      </c>
      <c r="AJ106">
        <v>0.0488678</v>
      </c>
      <c r="AK106">
        <v>0.00233356</v>
      </c>
      <c r="AL106">
        <v>0.0687107</v>
      </c>
      <c r="AM106">
        <v>6.0241</v>
      </c>
      <c r="AN106">
        <v>0.41392</v>
      </c>
      <c r="AO106">
        <v>8.32152</v>
      </c>
      <c r="AP106">
        <v>1.38137</v>
      </c>
      <c r="AQ106">
        <v>13.455</v>
      </c>
      <c r="AR106">
        <v>2.28874</v>
      </c>
      <c r="AS106">
        <f t="shared" si="4"/>
        <v>18.355569673867</v>
      </c>
      <c r="AT106">
        <f t="shared" si="5"/>
        <v>16.2300202937766</v>
      </c>
      <c r="AU106">
        <f t="shared" si="6"/>
        <v>0.21607</v>
      </c>
      <c r="AV106">
        <v>4.50578e-6</v>
      </c>
      <c r="AW106">
        <v>4.0159e-6</v>
      </c>
      <c r="AX106">
        <v>2.59022e-7</v>
      </c>
      <c r="AY106">
        <v>2.44388e-7</v>
      </c>
      <c r="AZ106">
        <v>1861000</v>
      </c>
      <c r="BA106">
        <v>-2003000</v>
      </c>
      <c r="BB106">
        <v>2734670</v>
      </c>
      <c r="BC106">
        <v>-47.2333</v>
      </c>
      <c r="BD106">
        <v>6547800</v>
      </c>
      <c r="BE106">
        <f t="shared" si="7"/>
        <v>6.81609540558674</v>
      </c>
      <c r="BF106">
        <v>8.521e-10</v>
      </c>
      <c r="BG106">
        <v>-9.06950943469373</v>
      </c>
      <c r="BH106">
        <v>0.8204</v>
      </c>
      <c r="BI106">
        <v>7752</v>
      </c>
      <c r="BJ106">
        <v>268330</v>
      </c>
      <c r="BK106">
        <v>5.42866923065219</v>
      </c>
      <c r="BL106">
        <v>6.2626e-10</v>
      </c>
      <c r="BM106">
        <v>-10.0002954207021</v>
      </c>
    </row>
    <row r="107" spans="1:65">
      <c r="A107">
        <v>105</v>
      </c>
      <c r="B107">
        <v>27</v>
      </c>
      <c r="C107" t="s">
        <v>66</v>
      </c>
      <c r="D107">
        <v>1</v>
      </c>
      <c r="E107">
        <v>5.431</v>
      </c>
      <c r="F107">
        <v>0.623703</v>
      </c>
      <c r="G107">
        <v>0.788606</v>
      </c>
      <c r="H107">
        <v>1.08511</v>
      </c>
      <c r="I107">
        <v>5.00504</v>
      </c>
      <c r="J107">
        <v>5.431</v>
      </c>
      <c r="K107">
        <v>8.7062</v>
      </c>
      <c r="L107">
        <v>1.73949</v>
      </c>
      <c r="M107">
        <v>10.4215</v>
      </c>
      <c r="N107">
        <v>2.61576</v>
      </c>
      <c r="O107">
        <v>5.461</v>
      </c>
      <c r="P107">
        <v>0.519095</v>
      </c>
      <c r="Q107">
        <v>0.815195</v>
      </c>
      <c r="R107">
        <v>1.04139</v>
      </c>
      <c r="S107">
        <v>5.24396</v>
      </c>
      <c r="T107">
        <v>5.461</v>
      </c>
      <c r="U107">
        <v>10.5119</v>
      </c>
      <c r="V107">
        <v>2.00457</v>
      </c>
      <c r="W107">
        <v>10.6926</v>
      </c>
      <c r="X107">
        <v>2.66252</v>
      </c>
      <c r="Y107">
        <v>0.4232</v>
      </c>
      <c r="Z107">
        <v>0.032023</v>
      </c>
      <c r="AA107">
        <v>0.00242546</v>
      </c>
      <c r="AB107">
        <v>0.0587405</v>
      </c>
      <c r="AC107">
        <v>7.20457</v>
      </c>
      <c r="AD107">
        <v>0.4232</v>
      </c>
      <c r="AE107">
        <v>11.8975</v>
      </c>
      <c r="AF107">
        <v>1.65138</v>
      </c>
      <c r="AG107">
        <v>18.6245</v>
      </c>
      <c r="AH107">
        <v>3.03828</v>
      </c>
      <c r="AI107">
        <v>0.42844</v>
      </c>
      <c r="AJ107">
        <v>0.0349827</v>
      </c>
      <c r="AK107">
        <v>0.00242758</v>
      </c>
      <c r="AL107">
        <v>0.0604225</v>
      </c>
      <c r="AM107">
        <v>7.09073</v>
      </c>
      <c r="AN107">
        <v>0.42844</v>
      </c>
      <c r="AO107">
        <v>11.2355</v>
      </c>
      <c r="AP107">
        <v>1.58454</v>
      </c>
      <c r="AQ107">
        <v>21.1288</v>
      </c>
      <c r="AR107">
        <v>3.14155</v>
      </c>
      <c r="AS107">
        <f t="shared" si="4"/>
        <v>12.8331758034026</v>
      </c>
      <c r="AT107">
        <f t="shared" si="5"/>
        <v>12.7462421809355</v>
      </c>
      <c r="AU107">
        <f t="shared" si="6"/>
        <v>-0.0300000000000002</v>
      </c>
      <c r="AV107">
        <v>2.45629e-6</v>
      </c>
      <c r="AW107">
        <v>2.33246e-6</v>
      </c>
      <c r="AX107">
        <v>1.60147e-7</v>
      </c>
      <c r="AY107">
        <v>1.74948e-7</v>
      </c>
      <c r="AZ107">
        <v>1424670</v>
      </c>
      <c r="BA107">
        <v>-1514330</v>
      </c>
      <c r="BB107">
        <v>2080670</v>
      </c>
      <c r="BC107">
        <v>-46.9333</v>
      </c>
      <c r="BD107">
        <v>3952000</v>
      </c>
      <c r="BE107">
        <f t="shared" si="7"/>
        <v>6.59681693591559</v>
      </c>
      <c r="BF107">
        <v>7.3799e-10</v>
      </c>
      <c r="BG107">
        <v>-9.13194952296591</v>
      </c>
      <c r="BH107">
        <v>0.88441</v>
      </c>
      <c r="BI107">
        <v>3782</v>
      </c>
      <c r="BJ107">
        <v>271220</v>
      </c>
      <c r="BK107">
        <v>5.43332171163078</v>
      </c>
      <c r="BL107">
        <v>8.8865e-10</v>
      </c>
      <c r="BM107">
        <v>-9.68638584042187</v>
      </c>
    </row>
    <row r="108" spans="1:65">
      <c r="A108">
        <v>106</v>
      </c>
      <c r="B108">
        <v>27</v>
      </c>
      <c r="C108" t="s">
        <v>67</v>
      </c>
      <c r="D108">
        <v>2</v>
      </c>
      <c r="E108">
        <v>8.612</v>
      </c>
      <c r="F108">
        <v>1.40711</v>
      </c>
      <c r="G108">
        <v>2.03355</v>
      </c>
      <c r="H108">
        <v>2.00327</v>
      </c>
      <c r="I108">
        <v>4.29897</v>
      </c>
      <c r="J108">
        <v>8.612</v>
      </c>
      <c r="K108">
        <v>6.12035</v>
      </c>
      <c r="L108">
        <v>1.42368</v>
      </c>
      <c r="M108">
        <v>8.65665</v>
      </c>
      <c r="N108">
        <v>2.32281</v>
      </c>
      <c r="O108">
        <v>7.794</v>
      </c>
      <c r="P108">
        <v>0.970505</v>
      </c>
      <c r="Q108">
        <v>1.36059</v>
      </c>
      <c r="R108">
        <v>1.5173</v>
      </c>
      <c r="S108">
        <v>5.13676</v>
      </c>
      <c r="T108">
        <v>7.794</v>
      </c>
      <c r="U108">
        <v>8.03087</v>
      </c>
      <c r="V108">
        <v>1.56341</v>
      </c>
      <c r="W108">
        <v>13.0481</v>
      </c>
      <c r="X108">
        <v>3.01373</v>
      </c>
      <c r="Y108">
        <v>0.34548</v>
      </c>
      <c r="Z108">
        <v>0.0508606</v>
      </c>
      <c r="AA108">
        <v>0.00212751</v>
      </c>
      <c r="AB108">
        <v>0.0686577</v>
      </c>
      <c r="AC108">
        <v>5.03192</v>
      </c>
      <c r="AD108">
        <v>0.34548</v>
      </c>
      <c r="AE108">
        <v>6.7244</v>
      </c>
      <c r="AF108">
        <v>1.33635</v>
      </c>
      <c r="AG108">
        <v>7.86937</v>
      </c>
      <c r="AH108">
        <v>1.65802</v>
      </c>
      <c r="AI108">
        <v>0.42648</v>
      </c>
      <c r="AJ108">
        <v>0.059385</v>
      </c>
      <c r="AK108">
        <v>0.0025038</v>
      </c>
      <c r="AL108">
        <v>0.0776523</v>
      </c>
      <c r="AM108">
        <v>5.49218</v>
      </c>
      <c r="AN108">
        <v>0.42648</v>
      </c>
      <c r="AO108">
        <v>7.15742</v>
      </c>
      <c r="AP108">
        <v>1.3032</v>
      </c>
      <c r="AQ108">
        <v>13.6336</v>
      </c>
      <c r="AR108">
        <v>2.29176</v>
      </c>
      <c r="AS108">
        <f t="shared" si="4"/>
        <v>24.9276369109645</v>
      </c>
      <c r="AT108">
        <f t="shared" si="5"/>
        <v>18.2751828925155</v>
      </c>
      <c r="AU108">
        <f t="shared" si="6"/>
        <v>0.818000000000001</v>
      </c>
      <c r="AV108">
        <v>5.94462e-6</v>
      </c>
      <c r="AW108">
        <v>4.93436e-6</v>
      </c>
      <c r="AX108">
        <v>2.54354e-7</v>
      </c>
      <c r="AY108">
        <v>2.96984e-7</v>
      </c>
      <c r="AZ108">
        <v>2099670</v>
      </c>
      <c r="BA108">
        <v>-3977330</v>
      </c>
      <c r="BB108">
        <v>4498670</v>
      </c>
      <c r="BC108">
        <v>-62.3</v>
      </c>
      <c r="BD108">
        <v>43792000</v>
      </c>
      <c r="BE108">
        <f t="shared" si="7"/>
        <v>7.64139478006605</v>
      </c>
      <c r="BF108">
        <v>9.005e-10</v>
      </c>
      <c r="BG108">
        <v>-9.04551628284445</v>
      </c>
      <c r="BH108">
        <v>0.77867</v>
      </c>
      <c r="BI108">
        <v>4649</v>
      </c>
      <c r="BJ108">
        <v>717160</v>
      </c>
      <c r="BK108">
        <v>5.85561605854808</v>
      </c>
      <c r="BL108">
        <v>1.0361e-9</v>
      </c>
      <c r="BM108">
        <v>-9.28188045906502</v>
      </c>
    </row>
    <row r="109" spans="1:65">
      <c r="A109">
        <v>107</v>
      </c>
      <c r="B109">
        <v>27</v>
      </c>
      <c r="C109" t="s">
        <v>68</v>
      </c>
      <c r="D109">
        <v>3</v>
      </c>
      <c r="E109">
        <v>6.21287</v>
      </c>
      <c r="F109">
        <v>0.757628</v>
      </c>
      <c r="G109">
        <v>1.08994</v>
      </c>
      <c r="H109">
        <v>1.28985</v>
      </c>
      <c r="I109">
        <v>4.81673</v>
      </c>
      <c r="J109">
        <v>6.21287</v>
      </c>
      <c r="K109">
        <v>8.20042</v>
      </c>
      <c r="L109">
        <v>1.70249</v>
      </c>
      <c r="M109">
        <v>9.24666</v>
      </c>
      <c r="N109">
        <v>2.38901</v>
      </c>
      <c r="O109">
        <v>5.74973</v>
      </c>
      <c r="P109">
        <v>0.614123</v>
      </c>
      <c r="Q109">
        <v>0.871609</v>
      </c>
      <c r="R109">
        <v>1.1174</v>
      </c>
      <c r="S109">
        <v>5.14564</v>
      </c>
      <c r="T109">
        <v>5.74973</v>
      </c>
      <c r="U109">
        <v>9.36141</v>
      </c>
      <c r="V109">
        <v>1.81929</v>
      </c>
      <c r="W109">
        <v>10.4355</v>
      </c>
      <c r="X109">
        <v>2.58727</v>
      </c>
      <c r="Y109">
        <v>0.5282</v>
      </c>
      <c r="Z109">
        <v>0.0882134</v>
      </c>
      <c r="AA109">
        <v>0.00279625</v>
      </c>
      <c r="AB109">
        <v>0.102846</v>
      </c>
      <c r="AC109">
        <v>5.13583</v>
      </c>
      <c r="AD109">
        <v>0.5282</v>
      </c>
      <c r="AE109">
        <v>5.98202</v>
      </c>
      <c r="AF109">
        <v>1.16476</v>
      </c>
      <c r="AG109">
        <v>21.5615</v>
      </c>
      <c r="AH109">
        <v>3.02912</v>
      </c>
      <c r="AI109">
        <v>0.43788</v>
      </c>
      <c r="AJ109">
        <v>0.0684579</v>
      </c>
      <c r="AK109">
        <v>0.00265708</v>
      </c>
      <c r="AL109">
        <v>0.0856916</v>
      </c>
      <c r="AM109">
        <v>5.10995</v>
      </c>
      <c r="AN109">
        <v>0.43788</v>
      </c>
      <c r="AO109">
        <v>6.39286</v>
      </c>
      <c r="AP109">
        <v>1.25106</v>
      </c>
      <c r="AQ109">
        <v>18.423</v>
      </c>
      <c r="AR109">
        <v>2.77365</v>
      </c>
      <c r="AS109">
        <f t="shared" si="4"/>
        <v>11.7623438091632</v>
      </c>
      <c r="AT109">
        <f t="shared" si="5"/>
        <v>13.1308349319448</v>
      </c>
      <c r="AU109">
        <f t="shared" si="6"/>
        <v>0.46314</v>
      </c>
      <c r="AV109">
        <v>5.25781e-6</v>
      </c>
      <c r="AW109">
        <v>3.59197e-6</v>
      </c>
      <c r="AX109">
        <v>4.41155e-7</v>
      </c>
      <c r="AY109">
        <v>3.42358e-7</v>
      </c>
      <c r="AZ109">
        <v>1500330</v>
      </c>
      <c r="BA109">
        <v>-1454000</v>
      </c>
      <c r="BB109">
        <v>2092000</v>
      </c>
      <c r="BC109">
        <v>-44.3333</v>
      </c>
      <c r="BD109">
        <v>867500</v>
      </c>
      <c r="BE109">
        <f t="shared" si="7"/>
        <v>5.93826948346291</v>
      </c>
      <c r="BF109">
        <v>1.0183e-9</v>
      </c>
      <c r="BG109">
        <v>-8.99212425623242</v>
      </c>
      <c r="BH109">
        <v>0.8539</v>
      </c>
      <c r="BI109">
        <v>4353</v>
      </c>
      <c r="BJ109">
        <v>2639200</v>
      </c>
      <c r="BK109">
        <v>6.42147230253729</v>
      </c>
      <c r="BL109">
        <v>4.48e-10</v>
      </c>
      <c r="BM109">
        <v>-10.0947547547312</v>
      </c>
    </row>
    <row r="110" spans="1:65">
      <c r="A110">
        <v>108</v>
      </c>
      <c r="B110">
        <v>28</v>
      </c>
      <c r="C110" t="s">
        <v>65</v>
      </c>
      <c r="D110">
        <v>0</v>
      </c>
      <c r="E110">
        <v>6.453</v>
      </c>
      <c r="F110">
        <v>0.789374</v>
      </c>
      <c r="G110">
        <v>1.12182</v>
      </c>
      <c r="H110">
        <v>1.32087</v>
      </c>
      <c r="I110">
        <v>4.88541</v>
      </c>
      <c r="J110">
        <v>6.453</v>
      </c>
      <c r="K110">
        <v>8.17483</v>
      </c>
      <c r="L110">
        <v>1.67332</v>
      </c>
      <c r="M110">
        <v>9.99002</v>
      </c>
      <c r="N110">
        <v>2.5247</v>
      </c>
      <c r="O110">
        <v>6.1704</v>
      </c>
      <c r="P110">
        <v>0.71495</v>
      </c>
      <c r="Q110">
        <v>0.890467</v>
      </c>
      <c r="R110">
        <v>1.18383</v>
      </c>
      <c r="S110">
        <v>5.21225</v>
      </c>
      <c r="T110">
        <v>6.1704</v>
      </c>
      <c r="U110">
        <v>8.63053</v>
      </c>
      <c r="V110">
        <v>1.65582</v>
      </c>
      <c r="W110">
        <v>12.1818</v>
      </c>
      <c r="X110">
        <v>2.85066</v>
      </c>
      <c r="Y110">
        <v>0.25848</v>
      </c>
      <c r="Z110">
        <v>-0.0524223</v>
      </c>
      <c r="AA110">
        <v>0.00193927</v>
      </c>
      <c r="AB110">
        <v>0.0684616</v>
      </c>
      <c r="AC110">
        <v>3.77555</v>
      </c>
      <c r="AD110">
        <v>0.25848</v>
      </c>
      <c r="AE110">
        <v>4.32765</v>
      </c>
      <c r="AF110">
        <v>1.14623</v>
      </c>
      <c r="AG110">
        <v>15.7119</v>
      </c>
      <c r="AH110">
        <v>2.60136</v>
      </c>
      <c r="AI110">
        <v>0.2702</v>
      </c>
      <c r="AJ110">
        <v>-0.0523819</v>
      </c>
      <c r="AK110">
        <v>0.00204862</v>
      </c>
      <c r="AL110">
        <v>0.0692248</v>
      </c>
      <c r="AM110">
        <v>3.90323</v>
      </c>
      <c r="AN110">
        <v>0.2702</v>
      </c>
      <c r="AO110">
        <v>4.48877</v>
      </c>
      <c r="AP110">
        <v>1.15001</v>
      </c>
      <c r="AQ110">
        <v>15.9588</v>
      </c>
      <c r="AR110">
        <v>2.6547</v>
      </c>
      <c r="AS110">
        <f t="shared" si="4"/>
        <v>24.9651810584958</v>
      </c>
      <c r="AT110">
        <f t="shared" si="5"/>
        <v>22.8364174685418</v>
      </c>
      <c r="AU110">
        <f t="shared" si="6"/>
        <v>0.2826</v>
      </c>
      <c r="AV110">
        <v>-7.91877e-7</v>
      </c>
      <c r="AW110">
        <v>-7.4635e-7</v>
      </c>
      <c r="AX110">
        <v>-2.62164e-7</v>
      </c>
      <c r="AY110">
        <v>-2.61962e-7</v>
      </c>
      <c r="AZ110">
        <v>1698330</v>
      </c>
      <c r="BA110">
        <v>-2104330</v>
      </c>
      <c r="BB110">
        <v>2705000</v>
      </c>
      <c r="BC110">
        <v>-51.1667</v>
      </c>
      <c r="BD110">
        <v>3420200</v>
      </c>
      <c r="BE110">
        <f t="shared" si="7"/>
        <v>6.53405150265167</v>
      </c>
      <c r="BF110">
        <v>8.032e-10</v>
      </c>
      <c r="BG110">
        <v>-9.09517630019906</v>
      </c>
      <c r="BH110">
        <v>0.83448</v>
      </c>
      <c r="BI110">
        <v>6678</v>
      </c>
      <c r="BJ110">
        <v>4004200</v>
      </c>
      <c r="BK110">
        <v>6.60251576129658</v>
      </c>
      <c r="BL110">
        <v>1.0234e-9</v>
      </c>
      <c r="BM110">
        <v>-9.43208007186497</v>
      </c>
    </row>
    <row r="111" spans="1:65">
      <c r="A111">
        <v>109</v>
      </c>
      <c r="B111">
        <v>28</v>
      </c>
      <c r="C111" t="s">
        <v>66</v>
      </c>
      <c r="D111">
        <v>1</v>
      </c>
      <c r="E111">
        <v>4.793</v>
      </c>
      <c r="F111">
        <v>0.330453</v>
      </c>
      <c r="G111">
        <v>0.419149</v>
      </c>
      <c r="H111">
        <v>0.726818</v>
      </c>
      <c r="I111">
        <v>6.5945</v>
      </c>
      <c r="J111">
        <v>4.793</v>
      </c>
      <c r="K111">
        <v>14.5029</v>
      </c>
      <c r="L111">
        <v>2.19924</v>
      </c>
      <c r="M111">
        <v>19.8932</v>
      </c>
      <c r="N111">
        <v>3.84109</v>
      </c>
      <c r="O111">
        <v>5.19</v>
      </c>
      <c r="P111">
        <v>0.542066</v>
      </c>
      <c r="Q111">
        <v>0.534858</v>
      </c>
      <c r="R111">
        <v>0.910267</v>
      </c>
      <c r="S111">
        <v>5.70162</v>
      </c>
      <c r="T111">
        <v>5.19</v>
      </c>
      <c r="U111">
        <v>9.57448</v>
      </c>
      <c r="V111">
        <v>1.67926</v>
      </c>
      <c r="W111">
        <v>16.2625</v>
      </c>
      <c r="X111">
        <v>3.41424</v>
      </c>
      <c r="Y111">
        <v>0.33304</v>
      </c>
      <c r="Z111">
        <v>-0.0563039</v>
      </c>
      <c r="AA111">
        <v>0.00233338</v>
      </c>
      <c r="AB111">
        <v>0.0741824</v>
      </c>
      <c r="AC111">
        <v>4.48947</v>
      </c>
      <c r="AD111">
        <v>0.33304</v>
      </c>
      <c r="AE111">
        <v>5.19474</v>
      </c>
      <c r="AF111">
        <v>1.15709</v>
      </c>
      <c r="AG111">
        <v>28.0118</v>
      </c>
      <c r="AH111">
        <v>3.88208</v>
      </c>
      <c r="AI111">
        <v>0.33472</v>
      </c>
      <c r="AJ111">
        <v>-0.0596791</v>
      </c>
      <c r="AK111">
        <v>0.00214598</v>
      </c>
      <c r="AL111">
        <v>0.0755457</v>
      </c>
      <c r="AM111">
        <v>4.4307</v>
      </c>
      <c r="AN111">
        <v>0.33472</v>
      </c>
      <c r="AO111">
        <v>4.98295</v>
      </c>
      <c r="AP111">
        <v>1.12464</v>
      </c>
      <c r="AQ111">
        <v>26.5822</v>
      </c>
      <c r="AR111">
        <v>3.80653</v>
      </c>
      <c r="AS111">
        <f t="shared" si="4"/>
        <v>14.3916646649051</v>
      </c>
      <c r="AT111">
        <f t="shared" si="5"/>
        <v>15.5054971319312</v>
      </c>
      <c r="AU111">
        <f t="shared" si="6"/>
        <v>-0.397</v>
      </c>
      <c r="AV111">
        <v>-1.36916e-7</v>
      </c>
      <c r="AW111">
        <v>-6.73414e-7</v>
      </c>
      <c r="AX111">
        <v>-2.81576e-7</v>
      </c>
      <c r="AY111">
        <v>-2.98455e-7</v>
      </c>
      <c r="AZ111">
        <v>1317000</v>
      </c>
      <c r="BA111">
        <v>-996700</v>
      </c>
      <c r="BB111">
        <v>1652670</v>
      </c>
      <c r="BC111">
        <v>-37.3</v>
      </c>
      <c r="BD111">
        <v>830520</v>
      </c>
      <c r="BE111">
        <f t="shared" si="7"/>
        <v>5.91935009528838</v>
      </c>
      <c r="BF111">
        <v>7.637e-10</v>
      </c>
      <c r="BG111">
        <v>-9.1170772093974</v>
      </c>
      <c r="BH111">
        <v>0.8912</v>
      </c>
      <c r="BI111">
        <v>2742</v>
      </c>
      <c r="BJ111">
        <v>1485400</v>
      </c>
      <c r="BK111">
        <v>6.17184341957958</v>
      </c>
      <c r="BL111">
        <v>5.9012e-10</v>
      </c>
      <c r="BM111">
        <v>-10.1149385918626</v>
      </c>
    </row>
    <row r="112" spans="1:65">
      <c r="A112">
        <v>110</v>
      </c>
      <c r="B112">
        <v>28</v>
      </c>
      <c r="C112" t="s">
        <v>67</v>
      </c>
      <c r="D112">
        <v>2</v>
      </c>
      <c r="E112">
        <v>5.142</v>
      </c>
      <c r="F112">
        <v>0.381545</v>
      </c>
      <c r="G112">
        <v>0.526587</v>
      </c>
      <c r="H112">
        <v>0.819792</v>
      </c>
      <c r="I112">
        <v>6.27232</v>
      </c>
      <c r="J112">
        <v>5.142</v>
      </c>
      <c r="K112">
        <v>13.4768</v>
      </c>
      <c r="L112">
        <v>2.14861</v>
      </c>
      <c r="M112">
        <v>18.196</v>
      </c>
      <c r="N112">
        <v>3.68794</v>
      </c>
      <c r="O112">
        <v>4.871</v>
      </c>
      <c r="P112">
        <v>0.368393</v>
      </c>
      <c r="Q112">
        <v>0.453794</v>
      </c>
      <c r="R112">
        <v>0.767735</v>
      </c>
      <c r="S112">
        <v>6.34464</v>
      </c>
      <c r="T112">
        <v>4.871</v>
      </c>
      <c r="U112">
        <v>13.2223</v>
      </c>
      <c r="V112">
        <v>2.08401</v>
      </c>
      <c r="W112">
        <v>19.1961</v>
      </c>
      <c r="X112">
        <v>3.81275</v>
      </c>
      <c r="Y112">
        <v>0.32384</v>
      </c>
      <c r="Z112">
        <v>-0.0523104</v>
      </c>
      <c r="AA112">
        <v>0.00201348</v>
      </c>
      <c r="AB112">
        <v>0.0689164</v>
      </c>
      <c r="AC112">
        <v>4.69903</v>
      </c>
      <c r="AD112">
        <v>0.32384</v>
      </c>
      <c r="AE112">
        <v>5.47855</v>
      </c>
      <c r="AF112">
        <v>1.16589</v>
      </c>
      <c r="AG112">
        <v>24.2945</v>
      </c>
      <c r="AH112">
        <v>3.43584</v>
      </c>
      <c r="AI112">
        <v>0.32916</v>
      </c>
      <c r="AJ112">
        <v>-0.0453158</v>
      </c>
      <c r="AK112">
        <v>0.00227748</v>
      </c>
      <c r="AL112">
        <v>0.0658068</v>
      </c>
      <c r="AM112">
        <v>5.00191</v>
      </c>
      <c r="AN112">
        <v>0.32916</v>
      </c>
      <c r="AO112">
        <v>6.20513</v>
      </c>
      <c r="AP112">
        <v>1.24055</v>
      </c>
      <c r="AQ112">
        <v>22.4319</v>
      </c>
      <c r="AR112">
        <v>3.11947</v>
      </c>
      <c r="AS112">
        <f t="shared" si="4"/>
        <v>15.8782114624506</v>
      </c>
      <c r="AT112">
        <f t="shared" si="5"/>
        <v>14.7982743954308</v>
      </c>
      <c r="AU112">
        <f t="shared" si="6"/>
        <v>0.271</v>
      </c>
      <c r="AV112">
        <v>-2.3018e-7</v>
      </c>
      <c r="AW112">
        <v>-1.0447e-7</v>
      </c>
      <c r="AX112">
        <v>-2.61605e-7</v>
      </c>
      <c r="AY112">
        <v>-2.26624e-7</v>
      </c>
      <c r="AZ112">
        <v>1019800</v>
      </c>
      <c r="BA112">
        <v>-610000</v>
      </c>
      <c r="BB112">
        <v>1189670</v>
      </c>
      <c r="BC112">
        <v>-30.9667</v>
      </c>
      <c r="BD112">
        <v>548350</v>
      </c>
      <c r="BE112">
        <f t="shared" si="7"/>
        <v>5.7390578478059</v>
      </c>
      <c r="BF112">
        <v>8.56e-10</v>
      </c>
      <c r="BG112">
        <v>-9.06752623532285</v>
      </c>
      <c r="BH112">
        <v>0.88013</v>
      </c>
      <c r="BI112">
        <v>3151</v>
      </c>
      <c r="BJ112">
        <v>1088500</v>
      </c>
      <c r="BK112">
        <v>6.03682843337711</v>
      </c>
      <c r="BL112">
        <v>7.2143e-10</v>
      </c>
      <c r="BM112">
        <v>-9.77291066177093</v>
      </c>
    </row>
    <row r="113" spans="1:65">
      <c r="A113">
        <v>111</v>
      </c>
      <c r="B113">
        <v>28</v>
      </c>
      <c r="C113" t="s">
        <v>68</v>
      </c>
      <c r="D113">
        <v>3</v>
      </c>
      <c r="E113">
        <v>5.389</v>
      </c>
      <c r="F113">
        <v>0.424506</v>
      </c>
      <c r="G113">
        <v>0.71059</v>
      </c>
      <c r="H113">
        <v>0.943744</v>
      </c>
      <c r="I113">
        <v>5.71023</v>
      </c>
      <c r="J113">
        <v>5.389</v>
      </c>
      <c r="K113">
        <v>12.1455</v>
      </c>
      <c r="L113">
        <v>2.12696</v>
      </c>
      <c r="M113">
        <v>13.0618</v>
      </c>
      <c r="N113">
        <v>3.0055</v>
      </c>
      <c r="O113">
        <v>4.24</v>
      </c>
      <c r="P113">
        <v>0.242404</v>
      </c>
      <c r="Q113">
        <v>0.275941</v>
      </c>
      <c r="R113">
        <v>0.578485</v>
      </c>
      <c r="S113">
        <v>7.32948</v>
      </c>
      <c r="T113">
        <v>4.24</v>
      </c>
      <c r="U113">
        <v>17.4915</v>
      </c>
      <c r="V113">
        <v>2.38646</v>
      </c>
      <c r="W113">
        <v>26.1142</v>
      </c>
      <c r="X113">
        <v>4.46723</v>
      </c>
      <c r="Y113">
        <v>0.31876</v>
      </c>
      <c r="Z113">
        <v>-0.0530863</v>
      </c>
      <c r="AA113">
        <v>0.00211261</v>
      </c>
      <c r="AB113">
        <v>0.0702164</v>
      </c>
      <c r="AC113">
        <v>4.53968</v>
      </c>
      <c r="AD113">
        <v>0.31876</v>
      </c>
      <c r="AE113">
        <v>5.25</v>
      </c>
      <c r="AF113">
        <v>1.15647</v>
      </c>
      <c r="AG113">
        <v>20.4952</v>
      </c>
      <c r="AH113">
        <v>3.11702</v>
      </c>
      <c r="AI113">
        <v>0.39136</v>
      </c>
      <c r="AJ113">
        <v>-0.0458156</v>
      </c>
      <c r="AK113">
        <v>0.00252245</v>
      </c>
      <c r="AL113">
        <v>0.067978</v>
      </c>
      <c r="AM113">
        <v>5.75715</v>
      </c>
      <c r="AN113">
        <v>0.39136</v>
      </c>
      <c r="AO113">
        <v>7.19184</v>
      </c>
      <c r="AP113">
        <v>1.2492</v>
      </c>
      <c r="AQ113">
        <v>30.6313</v>
      </c>
      <c r="AR113">
        <v>4.09316</v>
      </c>
      <c r="AS113">
        <f t="shared" si="4"/>
        <v>16.9061362780776</v>
      </c>
      <c r="AT113">
        <f t="shared" si="5"/>
        <v>10.8340147179068</v>
      </c>
      <c r="AU113">
        <f t="shared" si="6"/>
        <v>1.149</v>
      </c>
      <c r="AV113">
        <v>-1.93068e-7</v>
      </c>
      <c r="AW113">
        <v>1.59193e-7</v>
      </c>
      <c r="AX113">
        <v>-2.65484e-7</v>
      </c>
      <c r="AY113">
        <v>-2.29124e-7</v>
      </c>
      <c r="AZ113">
        <v>581333</v>
      </c>
      <c r="BA113">
        <v>-289500</v>
      </c>
      <c r="BB113">
        <v>649500</v>
      </c>
      <c r="BC113">
        <v>-26.4</v>
      </c>
      <c r="BD113">
        <v>87292</v>
      </c>
      <c r="BE113">
        <f t="shared" si="7"/>
        <v>4.94097444399129</v>
      </c>
      <c r="BF113">
        <v>1.544e-9</v>
      </c>
      <c r="BG113">
        <v>-8.81135270400028</v>
      </c>
      <c r="BH113">
        <v>0.85193</v>
      </c>
      <c r="BI113">
        <v>3174</v>
      </c>
      <c r="BJ113">
        <v>262010</v>
      </c>
      <c r="BK113">
        <v>5.41831786712868</v>
      </c>
      <c r="BL113">
        <v>6.6552e-10</v>
      </c>
      <c r="BM113">
        <v>-10.0509224073471</v>
      </c>
    </row>
    <row r="114" spans="1:65">
      <c r="A114">
        <v>112</v>
      </c>
      <c r="B114">
        <v>29</v>
      </c>
      <c r="C114" t="s">
        <v>65</v>
      </c>
      <c r="D114">
        <v>0</v>
      </c>
      <c r="E114">
        <v>5.74373</v>
      </c>
      <c r="F114">
        <v>0.645404</v>
      </c>
      <c r="G114">
        <v>0.845201</v>
      </c>
      <c r="H114">
        <v>1.1232</v>
      </c>
      <c r="I114">
        <v>5.11372</v>
      </c>
      <c r="J114">
        <v>5.74373</v>
      </c>
      <c r="K114">
        <v>8.89943</v>
      </c>
      <c r="L114">
        <v>1.7403</v>
      </c>
      <c r="M114">
        <v>11.2828</v>
      </c>
      <c r="N114">
        <v>2.75611</v>
      </c>
      <c r="O114">
        <v>5.028</v>
      </c>
      <c r="P114">
        <v>0.488667</v>
      </c>
      <c r="Q114">
        <v>0.562755</v>
      </c>
      <c r="R114">
        <v>0.895231</v>
      </c>
      <c r="S114">
        <v>5.61643</v>
      </c>
      <c r="T114">
        <v>5.028</v>
      </c>
      <c r="U114">
        <v>10.2892</v>
      </c>
      <c r="V114">
        <v>1.83199</v>
      </c>
      <c r="W114">
        <v>14.063</v>
      </c>
      <c r="X114">
        <v>3.12935</v>
      </c>
      <c r="Y114">
        <v>0.24596</v>
      </c>
      <c r="Z114">
        <v>-0.0999798</v>
      </c>
      <c r="AA114">
        <v>0.00157473</v>
      </c>
      <c r="AB114">
        <v>0.107566</v>
      </c>
      <c r="AC114">
        <v>2.2866</v>
      </c>
      <c r="AD114">
        <v>0.24596</v>
      </c>
      <c r="AE114">
        <v>2.3799</v>
      </c>
      <c r="AF114">
        <v>1.0408</v>
      </c>
      <c r="AG114">
        <v>22.0485</v>
      </c>
      <c r="AH114">
        <v>2.74412</v>
      </c>
      <c r="AI114">
        <v>0.24668</v>
      </c>
      <c r="AJ114">
        <v>-0.100984</v>
      </c>
      <c r="AK114">
        <v>0.00175575</v>
      </c>
      <c r="AL114">
        <v>0.10933</v>
      </c>
      <c r="AM114">
        <v>2.25628</v>
      </c>
      <c r="AN114">
        <v>0.24668</v>
      </c>
      <c r="AO114">
        <v>2.34174</v>
      </c>
      <c r="AP114">
        <v>1.03787</v>
      </c>
      <c r="AQ114">
        <v>30.8029</v>
      </c>
      <c r="AR114">
        <v>3.82581</v>
      </c>
      <c r="AS114">
        <f t="shared" si="4"/>
        <v>23.3522930557814</v>
      </c>
      <c r="AT114">
        <f t="shared" si="5"/>
        <v>20.3826820171883</v>
      </c>
      <c r="AU114">
        <f t="shared" si="6"/>
        <v>0.715730000000001</v>
      </c>
      <c r="AV114">
        <v>-2.42778e-6</v>
      </c>
      <c r="AW114">
        <v>-1.74372e-6</v>
      </c>
      <c r="AX114">
        <v>-4.99999e-7</v>
      </c>
      <c r="AY114">
        <v>-5.05019e-7</v>
      </c>
      <c r="AZ114">
        <v>624233</v>
      </c>
      <c r="BA114">
        <v>-297567</v>
      </c>
      <c r="BB114">
        <v>692000</v>
      </c>
      <c r="BC114">
        <v>-25.6333</v>
      </c>
      <c r="BD114">
        <v>470660</v>
      </c>
      <c r="BE114">
        <f t="shared" si="7"/>
        <v>5.67270729047264</v>
      </c>
      <c r="BF114">
        <v>1.2206e-9</v>
      </c>
      <c r="BG114">
        <v>-8.91342663437943</v>
      </c>
      <c r="BH114">
        <v>0.86022</v>
      </c>
      <c r="BI114">
        <v>4041</v>
      </c>
      <c r="BJ114">
        <v>346700</v>
      </c>
      <c r="BK114">
        <v>5.5399538416564</v>
      </c>
      <c r="BL114">
        <v>1.9082e-9</v>
      </c>
      <c r="BM114">
        <v>-9.06298389253519</v>
      </c>
    </row>
    <row r="115" spans="1:65">
      <c r="A115">
        <v>113</v>
      </c>
      <c r="B115">
        <v>29</v>
      </c>
      <c r="C115" t="s">
        <v>66</v>
      </c>
      <c r="D115">
        <v>1</v>
      </c>
      <c r="E115">
        <v>5.479</v>
      </c>
      <c r="F115">
        <v>0.584956</v>
      </c>
      <c r="G115">
        <v>0.714716</v>
      </c>
      <c r="H115">
        <v>1.02798</v>
      </c>
      <c r="I115">
        <v>5.32986</v>
      </c>
      <c r="J115">
        <v>5.479</v>
      </c>
      <c r="K115">
        <v>9.36587</v>
      </c>
      <c r="L115">
        <v>1.75724</v>
      </c>
      <c r="M115">
        <v>12.7763</v>
      </c>
      <c r="N115">
        <v>2.99206</v>
      </c>
      <c r="O115">
        <v>5.27453</v>
      </c>
      <c r="P115">
        <v>0.489913</v>
      </c>
      <c r="Q115">
        <v>0.599305</v>
      </c>
      <c r="R115">
        <v>0.916079</v>
      </c>
      <c r="S115">
        <v>5.75773</v>
      </c>
      <c r="T115">
        <v>5.27453</v>
      </c>
      <c r="U115">
        <v>10.7663</v>
      </c>
      <c r="V115">
        <v>1.86988</v>
      </c>
      <c r="W115">
        <v>14.9382</v>
      </c>
      <c r="X115">
        <v>3.26905</v>
      </c>
      <c r="Y115">
        <v>0.22744</v>
      </c>
      <c r="Z115">
        <v>-0.126365</v>
      </c>
      <c r="AA115">
        <v>0.00203344</v>
      </c>
      <c r="AB115">
        <v>0.134168</v>
      </c>
      <c r="AC115">
        <v>1.69519</v>
      </c>
      <c r="AD115">
        <v>0.22744</v>
      </c>
      <c r="AE115">
        <v>1.75269</v>
      </c>
      <c r="AF115">
        <v>1.03392</v>
      </c>
      <c r="AG115">
        <v>18.8053</v>
      </c>
      <c r="AH115">
        <v>2.75704</v>
      </c>
      <c r="AI115">
        <v>0.29296</v>
      </c>
      <c r="AJ115">
        <v>-0.11789</v>
      </c>
      <c r="AK115">
        <v>0.00196511</v>
      </c>
      <c r="AL115">
        <v>0.125947</v>
      </c>
      <c r="AM115">
        <v>2.32605</v>
      </c>
      <c r="AN115">
        <v>0.29296</v>
      </c>
      <c r="AO115">
        <v>2.40808</v>
      </c>
      <c r="AP115">
        <v>1.03526</v>
      </c>
      <c r="AQ115">
        <v>25.1692</v>
      </c>
      <c r="AR115">
        <v>3.21654</v>
      </c>
      <c r="AS115">
        <f t="shared" si="4"/>
        <v>24.0898698557861</v>
      </c>
      <c r="AT115">
        <f t="shared" si="5"/>
        <v>18.0042667941016</v>
      </c>
      <c r="AU115">
        <f t="shared" si="6"/>
        <v>0.20447</v>
      </c>
      <c r="AV115">
        <v>-2.82712e-6</v>
      </c>
      <c r="AW115">
        <v>-2.23768e-6</v>
      </c>
      <c r="AX115">
        <v>-6.31949e-7</v>
      </c>
      <c r="AY115">
        <v>-5.89566e-7</v>
      </c>
      <c r="AZ115">
        <v>637533</v>
      </c>
      <c r="BA115">
        <v>-293933</v>
      </c>
      <c r="BB115">
        <v>702133</v>
      </c>
      <c r="BC115">
        <v>-24.8</v>
      </c>
      <c r="BD115">
        <v>795500</v>
      </c>
      <c r="BE115">
        <f t="shared" si="7"/>
        <v>5.9006401839826</v>
      </c>
      <c r="BF115">
        <v>6.5927e-10</v>
      </c>
      <c r="BG115">
        <v>-9.18093668632348</v>
      </c>
      <c r="BH115">
        <v>0.89043</v>
      </c>
      <c r="BI115">
        <v>3312</v>
      </c>
      <c r="BJ115">
        <v>3427300000000</v>
      </c>
      <c r="BK115">
        <v>12.5349521209581</v>
      </c>
      <c r="BL115">
        <v>2.7618e-9</v>
      </c>
      <c r="BM115">
        <v>-9.00711966933874</v>
      </c>
    </row>
    <row r="116" spans="1:65">
      <c r="A116">
        <v>114</v>
      </c>
      <c r="B116">
        <v>29</v>
      </c>
      <c r="C116" t="s">
        <v>67</v>
      </c>
      <c r="D116">
        <v>2</v>
      </c>
      <c r="E116">
        <v>5.31087</v>
      </c>
      <c r="F116">
        <v>0.54269</v>
      </c>
      <c r="G116">
        <v>0.643048</v>
      </c>
      <c r="H116">
        <v>0.968211</v>
      </c>
      <c r="I116">
        <v>5.48524</v>
      </c>
      <c r="J116">
        <v>5.31087</v>
      </c>
      <c r="K116">
        <v>9.78618</v>
      </c>
      <c r="L116">
        <v>1.78409</v>
      </c>
      <c r="M116">
        <v>13.622</v>
      </c>
      <c r="N116">
        <v>3.10422</v>
      </c>
      <c r="O116">
        <v>5.118</v>
      </c>
      <c r="P116">
        <v>0.519105</v>
      </c>
      <c r="Q116">
        <v>0.532742</v>
      </c>
      <c r="R116">
        <v>0.895603</v>
      </c>
      <c r="S116">
        <v>5.71458</v>
      </c>
      <c r="T116">
        <v>5.118</v>
      </c>
      <c r="U116">
        <v>9.85927</v>
      </c>
      <c r="V116">
        <v>1.72528</v>
      </c>
      <c r="W116">
        <v>15.8368</v>
      </c>
      <c r="X116">
        <v>3.37681</v>
      </c>
      <c r="Y116">
        <v>0.24808</v>
      </c>
      <c r="Z116">
        <v>-0.099873</v>
      </c>
      <c r="AA116">
        <v>0.00185494</v>
      </c>
      <c r="AB116">
        <v>0.108762</v>
      </c>
      <c r="AC116">
        <v>2.28094</v>
      </c>
      <c r="AD116">
        <v>0.24808</v>
      </c>
      <c r="AE116">
        <v>2.37916</v>
      </c>
      <c r="AF116">
        <v>1.04306</v>
      </c>
      <c r="AG116">
        <v>25.1912</v>
      </c>
      <c r="AH116">
        <v>3.28563</v>
      </c>
      <c r="AI116">
        <v>0.24704</v>
      </c>
      <c r="AJ116">
        <v>-0.0971054</v>
      </c>
      <c r="AK116">
        <v>0.00193241</v>
      </c>
      <c r="AL116">
        <v>0.10659</v>
      </c>
      <c r="AM116">
        <v>2.31766</v>
      </c>
      <c r="AN116">
        <v>0.24704</v>
      </c>
      <c r="AO116">
        <v>2.4212</v>
      </c>
      <c r="AP116">
        <v>1.04468</v>
      </c>
      <c r="AQ116">
        <v>29.4091</v>
      </c>
      <c r="AR116">
        <v>3.81357</v>
      </c>
      <c r="AS116">
        <f t="shared" si="4"/>
        <v>21.4078926152854</v>
      </c>
      <c r="AT116">
        <f t="shared" si="5"/>
        <v>20.717292746114</v>
      </c>
      <c r="AU116">
        <f t="shared" si="6"/>
        <v>0.19287</v>
      </c>
      <c r="AV116">
        <v>-1.86771e-6</v>
      </c>
      <c r="AW116">
        <v>-1.64935e-6</v>
      </c>
      <c r="AX116">
        <v>-4.99465e-7</v>
      </c>
      <c r="AY116">
        <v>-4.85624e-7</v>
      </c>
      <c r="AZ116">
        <v>659233</v>
      </c>
      <c r="BA116">
        <v>-299267</v>
      </c>
      <c r="BB116">
        <v>724033</v>
      </c>
      <c r="BC116">
        <v>-24.4667</v>
      </c>
      <c r="BD116">
        <v>794380</v>
      </c>
      <c r="BE116">
        <f t="shared" si="7"/>
        <v>5.90002830145034</v>
      </c>
      <c r="BF116">
        <v>2.4641e-9</v>
      </c>
      <c r="BG116">
        <v>-8.60834167127753</v>
      </c>
      <c r="BH116">
        <v>0.79753</v>
      </c>
      <c r="BI116">
        <v>2466</v>
      </c>
      <c r="BJ116">
        <v>116890</v>
      </c>
      <c r="BK116">
        <v>5.06777735863332</v>
      </c>
      <c r="BL116">
        <v>7.1008e-10</v>
      </c>
      <c r="BM116">
        <v>-9.94108073928112</v>
      </c>
    </row>
    <row r="117" spans="1:65">
      <c r="A117">
        <v>115</v>
      </c>
      <c r="B117">
        <v>29</v>
      </c>
      <c r="C117" t="s">
        <v>68</v>
      </c>
      <c r="D117">
        <v>3</v>
      </c>
      <c r="E117">
        <v>6.303</v>
      </c>
      <c r="F117">
        <v>1.08608</v>
      </c>
      <c r="G117">
        <v>1.15924</v>
      </c>
      <c r="H117">
        <v>1.52924</v>
      </c>
      <c r="I117">
        <v>4.12165</v>
      </c>
      <c r="J117">
        <v>6.303</v>
      </c>
      <c r="K117">
        <v>5.80343</v>
      </c>
      <c r="L117">
        <v>1.40803</v>
      </c>
      <c r="M117">
        <v>7.53187</v>
      </c>
      <c r="N117">
        <v>2.06981</v>
      </c>
      <c r="O117">
        <v>5.341</v>
      </c>
      <c r="P117">
        <v>0.649891</v>
      </c>
      <c r="Q117">
        <v>0.694398</v>
      </c>
      <c r="R117">
        <v>1.0567</v>
      </c>
      <c r="S117">
        <v>5.05441</v>
      </c>
      <c r="T117">
        <v>5.341</v>
      </c>
      <c r="U117">
        <v>8.2183</v>
      </c>
      <c r="V117">
        <v>1.62597</v>
      </c>
      <c r="W117">
        <v>11.1334</v>
      </c>
      <c r="X117">
        <v>2.69749</v>
      </c>
      <c r="Y117">
        <v>0.32204</v>
      </c>
      <c r="Z117">
        <v>-0.0725001</v>
      </c>
      <c r="AA117">
        <v>0.00187591</v>
      </c>
      <c r="AB117">
        <v>0.08445</v>
      </c>
      <c r="AC117">
        <v>3.81338</v>
      </c>
      <c r="AD117">
        <v>0.32204</v>
      </c>
      <c r="AE117">
        <v>4.13195</v>
      </c>
      <c r="AF117">
        <v>1.08354</v>
      </c>
      <c r="AG117">
        <v>27.9715</v>
      </c>
      <c r="AH117">
        <v>3.62205</v>
      </c>
      <c r="AI117">
        <v>0.29632</v>
      </c>
      <c r="AJ117">
        <v>-0.0994788</v>
      </c>
      <c r="AK117">
        <v>0.00205623</v>
      </c>
      <c r="AL117">
        <v>0.109325</v>
      </c>
      <c r="AM117">
        <v>2.71046</v>
      </c>
      <c r="AN117">
        <v>0.29632</v>
      </c>
      <c r="AO117">
        <v>2.84972</v>
      </c>
      <c r="AP117">
        <v>1.05138</v>
      </c>
      <c r="AQ117">
        <v>24.7199</v>
      </c>
      <c r="AR117">
        <v>3.17368</v>
      </c>
      <c r="AS117">
        <f t="shared" si="4"/>
        <v>19.5721028443672</v>
      </c>
      <c r="AT117">
        <f t="shared" si="5"/>
        <v>18.0244330453564</v>
      </c>
      <c r="AU117">
        <f t="shared" si="6"/>
        <v>0.962</v>
      </c>
      <c r="AV117">
        <v>-2.72589e-6</v>
      </c>
      <c r="AW117">
        <v>-2.2266e-6</v>
      </c>
      <c r="AX117">
        <v>-3.62573e-7</v>
      </c>
      <c r="AY117">
        <v>-4.97494e-7</v>
      </c>
      <c r="AZ117">
        <v>660467</v>
      </c>
      <c r="BA117">
        <v>-372733</v>
      </c>
      <c r="BB117">
        <v>758467</v>
      </c>
      <c r="BC117">
        <v>-29.4667</v>
      </c>
      <c r="BD117">
        <v>1117500</v>
      </c>
      <c r="BE117">
        <f t="shared" si="7"/>
        <v>6.04824753180397</v>
      </c>
      <c r="BF117">
        <v>1.4666e-9</v>
      </c>
      <c r="BG117">
        <v>-8.83368831934041</v>
      </c>
      <c r="BH117">
        <v>0.82076</v>
      </c>
      <c r="BI117">
        <v>2215</v>
      </c>
      <c r="BJ117">
        <v>20410</v>
      </c>
      <c r="BK117">
        <v>4.30984300471607</v>
      </c>
      <c r="BL117">
        <v>1.345e-9</v>
      </c>
      <c r="BM117">
        <v>-9.04616785138338</v>
      </c>
    </row>
    <row r="118" spans="1:65">
      <c r="A118">
        <v>116</v>
      </c>
      <c r="B118">
        <v>30</v>
      </c>
      <c r="C118" t="s">
        <v>65</v>
      </c>
      <c r="D118">
        <v>0</v>
      </c>
      <c r="E118">
        <v>7.385</v>
      </c>
      <c r="F118">
        <v>0.828685</v>
      </c>
      <c r="G118">
        <v>1.22786</v>
      </c>
      <c r="H118">
        <v>1.38359</v>
      </c>
      <c r="I118">
        <v>5.33755</v>
      </c>
      <c r="J118">
        <v>7.385</v>
      </c>
      <c r="K118">
        <v>8.91171</v>
      </c>
      <c r="L118">
        <v>1.66962</v>
      </c>
      <c r="M118">
        <v>12.0071</v>
      </c>
      <c r="N118">
        <v>2.77345</v>
      </c>
      <c r="O118">
        <v>7.247</v>
      </c>
      <c r="P118">
        <v>0.686854</v>
      </c>
      <c r="Q118">
        <v>1.09178</v>
      </c>
      <c r="R118">
        <v>1.25033</v>
      </c>
      <c r="S118">
        <v>5.79606</v>
      </c>
      <c r="T118">
        <v>7.247</v>
      </c>
      <c r="U118">
        <v>10.551</v>
      </c>
      <c r="V118">
        <v>1.82037</v>
      </c>
      <c r="W118">
        <v>14.362</v>
      </c>
      <c r="X118">
        <v>3.10282</v>
      </c>
      <c r="Y118">
        <v>0.1114</v>
      </c>
      <c r="Z118">
        <v>-0.192835</v>
      </c>
      <c r="AA118">
        <v>0.0040279</v>
      </c>
      <c r="AB118">
        <v>0.203009</v>
      </c>
      <c r="AC118">
        <v>0.548745</v>
      </c>
      <c r="AD118">
        <v>0.1114</v>
      </c>
      <c r="AE118">
        <v>0.574523</v>
      </c>
      <c r="AF118">
        <v>1.04698</v>
      </c>
      <c r="AG118">
        <v>4.77961</v>
      </c>
      <c r="AH118">
        <v>0.640903</v>
      </c>
      <c r="AI118">
        <v>0.15932</v>
      </c>
      <c r="AJ118">
        <v>-0.17342</v>
      </c>
      <c r="AK118">
        <v>0.00472613</v>
      </c>
      <c r="AL118">
        <v>0.186547</v>
      </c>
      <c r="AM118">
        <v>0.854047</v>
      </c>
      <c r="AN118">
        <v>0.15932</v>
      </c>
      <c r="AO118">
        <v>0.906955</v>
      </c>
      <c r="AP118">
        <v>1.06195</v>
      </c>
      <c r="AQ118">
        <v>4.94771</v>
      </c>
      <c r="AR118">
        <v>0.719669</v>
      </c>
      <c r="AS118">
        <f t="shared" si="4"/>
        <v>66.2926391382406</v>
      </c>
      <c r="AT118">
        <f t="shared" si="5"/>
        <v>45.4870700477027</v>
      </c>
      <c r="AU118">
        <f t="shared" si="6"/>
        <v>0.138</v>
      </c>
      <c r="AV118">
        <v>-6.26678e-6</v>
      </c>
      <c r="AW118">
        <v>-3.98102e-6</v>
      </c>
      <c r="AX118">
        <v>-9.64369e-7</v>
      </c>
      <c r="AY118">
        <v>-8.67276e-7</v>
      </c>
      <c r="AZ118">
        <v>1275670</v>
      </c>
      <c r="BA118">
        <v>-811533</v>
      </c>
      <c r="BB118">
        <v>1513670</v>
      </c>
      <c r="BC118">
        <v>-32.6667</v>
      </c>
      <c r="BD118">
        <v>2083000</v>
      </c>
      <c r="BE118">
        <f t="shared" si="7"/>
        <v>6.31868926994775</v>
      </c>
      <c r="BF118">
        <v>1.2572e-9</v>
      </c>
      <c r="BG118">
        <v>-8.90059562765446</v>
      </c>
      <c r="BH118">
        <v>0.81103</v>
      </c>
      <c r="BI118">
        <v>7600</v>
      </c>
      <c r="BJ118">
        <v>66916</v>
      </c>
      <c r="BK118">
        <v>4.82552997248988</v>
      </c>
      <c r="BL118">
        <v>5.6201e-10</v>
      </c>
      <c r="BM118">
        <v>-9.79008304699101</v>
      </c>
    </row>
    <row r="119" spans="1:65">
      <c r="A119">
        <v>117</v>
      </c>
      <c r="B119">
        <v>30</v>
      </c>
      <c r="C119" t="s">
        <v>66</v>
      </c>
      <c r="D119">
        <v>1</v>
      </c>
      <c r="E119">
        <v>8.149</v>
      </c>
      <c r="F119">
        <v>0.939648</v>
      </c>
      <c r="G119">
        <v>1.7668</v>
      </c>
      <c r="H119">
        <v>1.62769</v>
      </c>
      <c r="I119">
        <v>5.00647</v>
      </c>
      <c r="J119">
        <v>8.149</v>
      </c>
      <c r="K119">
        <v>8.67239</v>
      </c>
      <c r="L119">
        <v>1.73224</v>
      </c>
      <c r="M119">
        <v>10.3601</v>
      </c>
      <c r="N119">
        <v>2.57435</v>
      </c>
      <c r="O119">
        <v>7.391</v>
      </c>
      <c r="P119">
        <v>0.636287</v>
      </c>
      <c r="Q119">
        <v>1.17771</v>
      </c>
      <c r="R119">
        <v>1.25791</v>
      </c>
      <c r="S119">
        <v>5.87562</v>
      </c>
      <c r="T119">
        <v>7.391</v>
      </c>
      <c r="U119">
        <v>11.6158</v>
      </c>
      <c r="V119">
        <v>1.97696</v>
      </c>
      <c r="W119">
        <v>14.9441</v>
      </c>
      <c r="X119">
        <v>3.2354</v>
      </c>
      <c r="Y119">
        <v>0.1004</v>
      </c>
      <c r="Z119">
        <v>-0.165874</v>
      </c>
      <c r="AA119">
        <v>0.00447306</v>
      </c>
      <c r="AB119">
        <v>0.178847</v>
      </c>
      <c r="AC119">
        <v>0.561373</v>
      </c>
      <c r="AD119">
        <v>0.1004</v>
      </c>
      <c r="AE119">
        <v>0.601132</v>
      </c>
      <c r="AF119">
        <v>1.07083</v>
      </c>
      <c r="AG119">
        <v>3.5792</v>
      </c>
      <c r="AH119">
        <v>0.348532</v>
      </c>
      <c r="AI119">
        <v>0.15992</v>
      </c>
      <c r="AJ119">
        <v>-0.164843</v>
      </c>
      <c r="AK119">
        <v>0.00460401</v>
      </c>
      <c r="AL119">
        <v>0.178259</v>
      </c>
      <c r="AM119">
        <v>0.89712</v>
      </c>
      <c r="AN119">
        <v>0.15992</v>
      </c>
      <c r="AO119">
        <v>0.961701</v>
      </c>
      <c r="AP119">
        <v>1.07199</v>
      </c>
      <c r="AQ119">
        <v>3.80973</v>
      </c>
      <c r="AR119">
        <v>0.280284</v>
      </c>
      <c r="AS119">
        <f t="shared" si="4"/>
        <v>81.1653386454183</v>
      </c>
      <c r="AT119">
        <f t="shared" si="5"/>
        <v>46.2168584292146</v>
      </c>
      <c r="AU119">
        <f t="shared" si="6"/>
        <v>0.757999999999999</v>
      </c>
      <c r="AV119">
        <v>-5.43967e-6</v>
      </c>
      <c r="AW119">
        <v>-3.56352e-6</v>
      </c>
      <c r="AX119">
        <v>-8.29536e-7</v>
      </c>
      <c r="AY119">
        <v>-8.24381e-7</v>
      </c>
      <c r="AZ119">
        <v>2615330</v>
      </c>
      <c r="BA119">
        <v>-3559000</v>
      </c>
      <c r="BB119">
        <v>4417330</v>
      </c>
      <c r="BC119">
        <v>-53.8333</v>
      </c>
      <c r="BD119">
        <v>13291000</v>
      </c>
      <c r="BE119">
        <f t="shared" si="7"/>
        <v>7.12355765800395</v>
      </c>
      <c r="BF119">
        <v>5.4423e-10</v>
      </c>
      <c r="BG119">
        <v>-9.26421752195473</v>
      </c>
      <c r="BH119">
        <v>0.81112</v>
      </c>
      <c r="BI119">
        <v>9417</v>
      </c>
      <c r="BJ119">
        <v>14304</v>
      </c>
      <c r="BK119">
        <v>4.15545750145184</v>
      </c>
      <c r="BL119">
        <v>9.5344e-11</v>
      </c>
      <c r="BM119">
        <v>-9.8735438865682</v>
      </c>
    </row>
    <row r="120" spans="1:65">
      <c r="A120">
        <v>118</v>
      </c>
      <c r="B120">
        <v>30</v>
      </c>
      <c r="C120" t="s">
        <v>67</v>
      </c>
      <c r="D120">
        <v>2</v>
      </c>
      <c r="E120" s="1">
        <v>6.20073</v>
      </c>
      <c r="F120">
        <v>0.892209</v>
      </c>
      <c r="G120">
        <v>0.96578</v>
      </c>
      <c r="H120">
        <v>1.32726</v>
      </c>
      <c r="I120">
        <v>4.67182</v>
      </c>
      <c r="J120">
        <v>6.20073</v>
      </c>
      <c r="K120">
        <v>6.94987</v>
      </c>
      <c r="L120">
        <v>1.48761</v>
      </c>
      <c r="M120">
        <v>9.864</v>
      </c>
      <c r="N120">
        <v>2.50628</v>
      </c>
      <c r="O120">
        <v>6.092</v>
      </c>
      <c r="P120">
        <v>0.673071</v>
      </c>
      <c r="Q120">
        <v>0.777923</v>
      </c>
      <c r="R120">
        <v>1.10941</v>
      </c>
      <c r="S120">
        <v>5.4912</v>
      </c>
      <c r="T120">
        <v>6.092</v>
      </c>
      <c r="U120">
        <v>9.05105</v>
      </c>
      <c r="V120">
        <v>1.64828</v>
      </c>
      <c r="W120">
        <v>14.1548</v>
      </c>
      <c r="X120">
        <v>3.12446</v>
      </c>
      <c r="Y120">
        <v>0.14472</v>
      </c>
      <c r="Z120">
        <v>-0.207971</v>
      </c>
      <c r="AA120">
        <v>0.00472193</v>
      </c>
      <c r="AB120">
        <v>0.219027</v>
      </c>
      <c r="AC120">
        <v>0.660741</v>
      </c>
      <c r="AD120">
        <v>0.14472</v>
      </c>
      <c r="AE120">
        <v>0.692498</v>
      </c>
      <c r="AF120">
        <v>1.04806</v>
      </c>
      <c r="AG120">
        <v>4.43652</v>
      </c>
      <c r="AH120">
        <v>0.634231</v>
      </c>
      <c r="AI120">
        <v>0.17756</v>
      </c>
      <c r="AJ120">
        <v>-0.216425</v>
      </c>
      <c r="AK120">
        <v>0.00453759</v>
      </c>
      <c r="AL120">
        <v>0.226664</v>
      </c>
      <c r="AM120">
        <v>0.783363</v>
      </c>
      <c r="AN120">
        <v>0.17756</v>
      </c>
      <c r="AO120">
        <v>0.813399</v>
      </c>
      <c r="AP120">
        <v>1.03834</v>
      </c>
      <c r="AQ120">
        <v>7.16781</v>
      </c>
      <c r="AR120">
        <v>1.10582</v>
      </c>
      <c r="AS120">
        <f t="shared" si="4"/>
        <v>42.8463930348259</v>
      </c>
      <c r="AT120">
        <f t="shared" si="5"/>
        <v>34.3095291732372</v>
      </c>
      <c r="AU120">
        <f t="shared" si="6"/>
        <v>0.10873</v>
      </c>
      <c r="AV120">
        <v>-7.42266e-6</v>
      </c>
      <c r="AW120">
        <v>-5.7198e-6</v>
      </c>
      <c r="AX120">
        <v>-1.04006e-6</v>
      </c>
      <c r="AY120">
        <v>-1.08234e-6</v>
      </c>
      <c r="AZ120">
        <v>1074500</v>
      </c>
      <c r="BA120">
        <v>-1087000</v>
      </c>
      <c r="BB120">
        <v>1532000</v>
      </c>
      <c r="BC120">
        <v>-45.3667</v>
      </c>
      <c r="BD120">
        <v>2739400</v>
      </c>
      <c r="BE120">
        <f t="shared" si="7"/>
        <v>6.43765545142491</v>
      </c>
      <c r="BF120">
        <v>8.7032e-10</v>
      </c>
      <c r="BG120">
        <v>-9.06032103625265</v>
      </c>
      <c r="BH120">
        <v>0.84741</v>
      </c>
      <c r="BI120">
        <v>0.014528</v>
      </c>
      <c r="BJ120">
        <v>5269</v>
      </c>
      <c r="BK120">
        <v>3.72172819857279</v>
      </c>
      <c r="BL120">
        <v>4.4649e-11</v>
      </c>
      <c r="BM120">
        <v>-8.67245716806748</v>
      </c>
    </row>
    <row r="121" spans="1:65">
      <c r="A121">
        <v>119</v>
      </c>
      <c r="B121">
        <v>30</v>
      </c>
      <c r="C121" t="s">
        <v>68</v>
      </c>
      <c r="D121">
        <v>3</v>
      </c>
      <c r="E121" s="1">
        <v>7.01887</v>
      </c>
      <c r="F121">
        <v>0.944202</v>
      </c>
      <c r="G121">
        <v>1.15097</v>
      </c>
      <c r="H121">
        <v>1.42907</v>
      </c>
      <c r="I121">
        <v>4.91148</v>
      </c>
      <c r="J121">
        <v>7.01887</v>
      </c>
      <c r="K121">
        <v>7.43365</v>
      </c>
      <c r="L121">
        <v>1.51353</v>
      </c>
      <c r="M121">
        <v>10.7944</v>
      </c>
      <c r="N121">
        <v>2.61505</v>
      </c>
      <c r="O121">
        <v>6.24887</v>
      </c>
      <c r="P121">
        <v>0.646674</v>
      </c>
      <c r="Q121">
        <v>0.905394</v>
      </c>
      <c r="R121">
        <v>1.15039</v>
      </c>
      <c r="S121">
        <v>5.43195</v>
      </c>
      <c r="T121">
        <v>6.24887</v>
      </c>
      <c r="U121">
        <v>9.66309</v>
      </c>
      <c r="V121">
        <v>1.77894</v>
      </c>
      <c r="W121">
        <v>12.3347</v>
      </c>
      <c r="X121">
        <v>2.86536</v>
      </c>
      <c r="Y121">
        <v>0.22692</v>
      </c>
      <c r="Z121">
        <v>-0.120515</v>
      </c>
      <c r="AA121">
        <v>0.00541577</v>
      </c>
      <c r="AB121">
        <v>0.141204</v>
      </c>
      <c r="AC121">
        <v>1.60704</v>
      </c>
      <c r="AD121">
        <v>0.22692</v>
      </c>
      <c r="AE121">
        <v>1.78298</v>
      </c>
      <c r="AF121">
        <v>1.10948</v>
      </c>
      <c r="AG121">
        <v>4.63814</v>
      </c>
      <c r="AH121">
        <v>0.710607</v>
      </c>
      <c r="AI121">
        <v>0.27096</v>
      </c>
      <c r="AJ121">
        <v>-0.125008</v>
      </c>
      <c r="AK121">
        <v>0.00456455</v>
      </c>
      <c r="AL121">
        <v>0.142094</v>
      </c>
      <c r="AM121">
        <v>1.90691</v>
      </c>
      <c r="AN121">
        <v>0.27096</v>
      </c>
      <c r="AO121">
        <v>2.07345</v>
      </c>
      <c r="AP121">
        <v>1.08733</v>
      </c>
      <c r="AQ121">
        <v>7.26461</v>
      </c>
      <c r="AR121">
        <v>1.04781</v>
      </c>
      <c r="AS121">
        <f t="shared" si="4"/>
        <v>30.9310329631588</v>
      </c>
      <c r="AT121">
        <f t="shared" si="5"/>
        <v>23.0619648656628</v>
      </c>
      <c r="AU121">
        <f t="shared" si="6"/>
        <v>0.77</v>
      </c>
      <c r="AV121">
        <v>-3.18159e-6</v>
      </c>
      <c r="AW121">
        <v>-2.31418e-6</v>
      </c>
      <c r="AX121">
        <v>-6.02694e-7</v>
      </c>
      <c r="AY121">
        <v>-6.25166e-7</v>
      </c>
      <c r="AZ121">
        <v>1906330</v>
      </c>
      <c r="BA121">
        <v>-2062330</v>
      </c>
      <c r="BB121">
        <v>2809000</v>
      </c>
      <c r="BC121">
        <v>-47.3667</v>
      </c>
      <c r="BD121">
        <v>1606300</v>
      </c>
      <c r="BE121">
        <f t="shared" si="7"/>
        <v>6.20582665935934</v>
      </c>
      <c r="BF121">
        <v>9.0012e-10</v>
      </c>
      <c r="BG121">
        <v>-9.04569958848981</v>
      </c>
      <c r="BH121">
        <v>0.85396</v>
      </c>
      <c r="BI121">
        <v>9168</v>
      </c>
      <c r="BJ121">
        <v>2977000</v>
      </c>
      <c r="BK121">
        <v>6.47377883464672</v>
      </c>
      <c r="BL121">
        <v>3.8026e-10</v>
      </c>
      <c r="BM121">
        <v>-9.60164326862025</v>
      </c>
    </row>
    <row r="122" spans="1:65">
      <c r="A122">
        <v>120</v>
      </c>
      <c r="B122">
        <v>31</v>
      </c>
      <c r="C122" t="s">
        <v>65</v>
      </c>
      <c r="D122">
        <v>0</v>
      </c>
      <c r="E122">
        <v>5.503</v>
      </c>
      <c r="F122">
        <v>0.781466</v>
      </c>
      <c r="G122">
        <v>0.923217</v>
      </c>
      <c r="H122">
        <v>1.23844</v>
      </c>
      <c r="I122">
        <v>4.44351</v>
      </c>
      <c r="J122">
        <v>5.503</v>
      </c>
      <c r="K122">
        <v>7.03699</v>
      </c>
      <c r="L122">
        <v>1.58366</v>
      </c>
      <c r="M122">
        <v>7.93192</v>
      </c>
      <c r="N122">
        <v>2.14163</v>
      </c>
      <c r="O122">
        <v>5.052</v>
      </c>
      <c r="P122">
        <v>0.499406</v>
      </c>
      <c r="Q122">
        <v>0.594417</v>
      </c>
      <c r="R122">
        <v>0.918534</v>
      </c>
      <c r="S122">
        <v>5.50007</v>
      </c>
      <c r="T122">
        <v>5.052</v>
      </c>
      <c r="U122">
        <v>10.116</v>
      </c>
      <c r="V122">
        <v>1.83925</v>
      </c>
      <c r="W122">
        <v>13.128</v>
      </c>
      <c r="X122">
        <v>3.00544</v>
      </c>
      <c r="Y122">
        <v>0.33588</v>
      </c>
      <c r="Z122">
        <v>-0.00412958</v>
      </c>
      <c r="AA122">
        <v>0.0019123</v>
      </c>
      <c r="AB122">
        <v>0.0439201</v>
      </c>
      <c r="AC122">
        <v>7.64752</v>
      </c>
      <c r="AD122">
        <v>0.33588</v>
      </c>
      <c r="AE122">
        <v>12.5905</v>
      </c>
      <c r="AF122">
        <v>1.64635</v>
      </c>
      <c r="AG122">
        <v>22.4417</v>
      </c>
      <c r="AH122">
        <v>3.01579</v>
      </c>
      <c r="AI122">
        <v>0.38668</v>
      </c>
      <c r="AJ122">
        <v>-0.00983003</v>
      </c>
      <c r="AK122">
        <v>0.00190996</v>
      </c>
      <c r="AL122">
        <v>0.0447907</v>
      </c>
      <c r="AM122">
        <v>8.63303</v>
      </c>
      <c r="AN122">
        <v>0.38668</v>
      </c>
      <c r="AO122">
        <v>15.2907</v>
      </c>
      <c r="AP122">
        <v>1.77119</v>
      </c>
      <c r="AQ122">
        <v>30.9186</v>
      </c>
      <c r="AR122">
        <v>3.86387</v>
      </c>
      <c r="AS122">
        <f t="shared" si="4"/>
        <v>16.383827557461</v>
      </c>
      <c r="AT122">
        <f t="shared" si="5"/>
        <v>13.0650667218372</v>
      </c>
      <c r="AU122">
        <f t="shared" si="6"/>
        <v>0.451000000000001</v>
      </c>
      <c r="AV122">
        <v>1.02207e-6</v>
      </c>
      <c r="AW122">
        <v>6.78777e-7</v>
      </c>
      <c r="AX122">
        <v>-2.0652e-8</v>
      </c>
      <c r="AY122">
        <v>-4.916e-8</v>
      </c>
      <c r="AZ122">
        <v>910900</v>
      </c>
      <c r="BA122">
        <v>-729333</v>
      </c>
      <c r="BB122">
        <v>1167670</v>
      </c>
      <c r="BC122">
        <v>-38.7667</v>
      </c>
      <c r="BD122">
        <v>1470300</v>
      </c>
      <c r="BE122">
        <f t="shared" si="7"/>
        <v>6.16740595723229</v>
      </c>
      <c r="BF122">
        <v>1.0441e-9</v>
      </c>
      <c r="BG122">
        <v>-8.98125790423762</v>
      </c>
      <c r="BH122">
        <v>0.8584</v>
      </c>
      <c r="BI122">
        <v>3960</v>
      </c>
      <c r="BJ122">
        <v>2801700000000</v>
      </c>
      <c r="BK122">
        <v>12.4474216301218</v>
      </c>
      <c r="BL122">
        <v>6.4307e-9</v>
      </c>
      <c r="BM122">
        <v>-8.64691123516605</v>
      </c>
    </row>
    <row r="123" spans="1:65">
      <c r="A123">
        <v>121</v>
      </c>
      <c r="B123">
        <v>31</v>
      </c>
      <c r="C123" t="s">
        <v>66</v>
      </c>
      <c r="D123">
        <v>1</v>
      </c>
      <c r="E123">
        <v>5.479</v>
      </c>
      <c r="F123">
        <v>0.535424</v>
      </c>
      <c r="G123">
        <v>0.780804</v>
      </c>
      <c r="H123">
        <v>1.03311</v>
      </c>
      <c r="I123">
        <v>5.30338</v>
      </c>
      <c r="J123">
        <v>5.479</v>
      </c>
      <c r="K123">
        <v>10.2266</v>
      </c>
      <c r="L123">
        <v>1.92833</v>
      </c>
      <c r="M123">
        <v>11.4223</v>
      </c>
      <c r="N123">
        <v>2.77355</v>
      </c>
      <c r="O123">
        <v>5.142</v>
      </c>
      <c r="P123">
        <v>0.428083</v>
      </c>
      <c r="Q123">
        <v>0.557522</v>
      </c>
      <c r="R123">
        <v>0.860619</v>
      </c>
      <c r="S123">
        <v>5.97477</v>
      </c>
      <c r="T123">
        <v>5.142</v>
      </c>
      <c r="U123">
        <v>12.0117</v>
      </c>
      <c r="V123">
        <v>2.0104</v>
      </c>
      <c r="W123">
        <v>15.9594</v>
      </c>
      <c r="X123">
        <v>3.38792</v>
      </c>
      <c r="Y123">
        <v>0.39668</v>
      </c>
      <c r="Z123">
        <v>0.042034</v>
      </c>
      <c r="AA123">
        <v>0.00234421</v>
      </c>
      <c r="AB123">
        <v>0.0641139</v>
      </c>
      <c r="AC123">
        <v>6.18711</v>
      </c>
      <c r="AD123">
        <v>0.39668</v>
      </c>
      <c r="AE123">
        <v>9.19135</v>
      </c>
      <c r="AF123">
        <v>1.48556</v>
      </c>
      <c r="AG123">
        <v>18.7529</v>
      </c>
      <c r="AH123">
        <v>2.93416</v>
      </c>
      <c r="AI123">
        <v>0.42544</v>
      </c>
      <c r="AJ123">
        <v>0.0381646</v>
      </c>
      <c r="AK123">
        <v>0.00244747</v>
      </c>
      <c r="AL123">
        <v>0.0624781</v>
      </c>
      <c r="AM123">
        <v>6.80942</v>
      </c>
      <c r="AN123">
        <v>0.42544</v>
      </c>
      <c r="AO123">
        <v>10.8086</v>
      </c>
      <c r="AP123">
        <v>1.58729</v>
      </c>
      <c r="AQ123">
        <v>25.1258</v>
      </c>
      <c r="AR123">
        <v>3.66812</v>
      </c>
      <c r="AS123">
        <f t="shared" si="4"/>
        <v>13.8121407683775</v>
      </c>
      <c r="AT123">
        <f t="shared" si="5"/>
        <v>12.0863106430989</v>
      </c>
      <c r="AU123">
        <f t="shared" si="6"/>
        <v>0.337</v>
      </c>
      <c r="AV123">
        <v>2.43624e-6</v>
      </c>
      <c r="AW123">
        <v>1.98807e-6</v>
      </c>
      <c r="AX123">
        <v>2.10212e-7</v>
      </c>
      <c r="AY123">
        <v>1.90861e-7</v>
      </c>
      <c r="AZ123">
        <v>391933</v>
      </c>
      <c r="BA123">
        <v>-152833</v>
      </c>
      <c r="BB123">
        <v>420733</v>
      </c>
      <c r="BC123">
        <v>-21.3333</v>
      </c>
      <c r="BD123">
        <v>2094700</v>
      </c>
      <c r="BE123">
        <f t="shared" si="7"/>
        <v>6.32112183270853</v>
      </c>
      <c r="BF123">
        <v>1.5494e-8</v>
      </c>
      <c r="BG123">
        <v>-7.8098364483693</v>
      </c>
      <c r="BH123">
        <v>0.67291</v>
      </c>
      <c r="BI123">
        <v>3174</v>
      </c>
      <c r="BJ123">
        <v>303440</v>
      </c>
      <c r="BK123">
        <v>5.48207282969473</v>
      </c>
      <c r="BL123">
        <v>3.7065e-10</v>
      </c>
      <c r="BM123">
        <v>-10.2764950724047</v>
      </c>
    </row>
    <row r="124" spans="1:65">
      <c r="A124">
        <v>122</v>
      </c>
      <c r="B124">
        <v>31</v>
      </c>
      <c r="C124" t="s">
        <v>67</v>
      </c>
      <c r="D124">
        <v>2</v>
      </c>
      <c r="E124">
        <v>4.631</v>
      </c>
      <c r="F124">
        <v>0.264889</v>
      </c>
      <c r="G124">
        <v>0.337921</v>
      </c>
      <c r="H124">
        <v>0.638765</v>
      </c>
      <c r="I124">
        <v>7.24993</v>
      </c>
      <c r="J124">
        <v>4.631</v>
      </c>
      <c r="K124">
        <v>17.4749</v>
      </c>
      <c r="L124">
        <v>2.41035</v>
      </c>
      <c r="M124">
        <v>25.9844</v>
      </c>
      <c r="N124">
        <v>4.52571</v>
      </c>
      <c r="O124">
        <v>3.933</v>
      </c>
      <c r="P124">
        <v>0.165063</v>
      </c>
      <c r="Q124">
        <v>0.188921</v>
      </c>
      <c r="R124">
        <v>0.464897</v>
      </c>
      <c r="S124">
        <v>8.45994</v>
      </c>
      <c r="T124">
        <v>3.933</v>
      </c>
      <c r="U124">
        <v>23.8186</v>
      </c>
      <c r="V124">
        <v>2.81546</v>
      </c>
      <c r="W124">
        <v>38.6796</v>
      </c>
      <c r="X124">
        <v>5.66336</v>
      </c>
      <c r="Y124">
        <v>0.42084</v>
      </c>
      <c r="Z124">
        <v>-0.00384855</v>
      </c>
      <c r="AA124">
        <v>0.00239038</v>
      </c>
      <c r="AB124">
        <v>0.0490378</v>
      </c>
      <c r="AC124">
        <v>8.58194</v>
      </c>
      <c r="AD124">
        <v>0.42084</v>
      </c>
      <c r="AE124">
        <v>16.7595</v>
      </c>
      <c r="AF124">
        <v>1.95288</v>
      </c>
      <c r="AG124">
        <v>31.6686</v>
      </c>
      <c r="AH124">
        <v>4.09787</v>
      </c>
      <c r="AI124">
        <v>0.47528</v>
      </c>
      <c r="AJ124">
        <v>-0.00133992</v>
      </c>
      <c r="AK124">
        <v>0.00265659</v>
      </c>
      <c r="AL124">
        <v>0.0515544</v>
      </c>
      <c r="AM124">
        <v>9.21901</v>
      </c>
      <c r="AN124">
        <v>0.47528</v>
      </c>
      <c r="AO124">
        <v>18.1216</v>
      </c>
      <c r="AP124">
        <v>1.96568</v>
      </c>
      <c r="AQ124">
        <v>36.3976</v>
      </c>
      <c r="AR124">
        <v>4.53799</v>
      </c>
      <c r="AS124">
        <f t="shared" si="4"/>
        <v>11.0041821119665</v>
      </c>
      <c r="AT124">
        <f t="shared" si="5"/>
        <v>8.27512203332772</v>
      </c>
      <c r="AU124">
        <f t="shared" si="6"/>
        <v>0.698</v>
      </c>
      <c r="AV124">
        <v>9.18269e-7</v>
      </c>
      <c r="AW124">
        <v>6.90071e-7</v>
      </c>
      <c r="AX124">
        <v>-1.92466e-8</v>
      </c>
      <c r="AY124">
        <v>-6.70096e-9</v>
      </c>
      <c r="AZ124">
        <v>255700</v>
      </c>
      <c r="BA124">
        <v>-95110</v>
      </c>
      <c r="BB124">
        <v>272833</v>
      </c>
      <c r="BC124">
        <v>-20.4</v>
      </c>
      <c r="BD124">
        <v>145170</v>
      </c>
      <c r="BE124">
        <f t="shared" si="7"/>
        <v>5.16187687682829</v>
      </c>
      <c r="BF124">
        <v>1.1879e-9</v>
      </c>
      <c r="BG124">
        <v>-8.92522011766807</v>
      </c>
      <c r="BH124">
        <v>0.86443</v>
      </c>
      <c r="BI124">
        <v>2780</v>
      </c>
      <c r="BJ124">
        <v>144090</v>
      </c>
      <c r="BK124">
        <v>5.15863384135862</v>
      </c>
      <c r="BL124">
        <v>2.9659e-9</v>
      </c>
      <c r="BM124">
        <v>-9.34441021041761</v>
      </c>
    </row>
    <row r="125" spans="1:65">
      <c r="A125">
        <v>123</v>
      </c>
      <c r="B125">
        <v>31</v>
      </c>
      <c r="C125" t="s">
        <v>68</v>
      </c>
      <c r="D125">
        <v>3</v>
      </c>
      <c r="E125">
        <v>3.789</v>
      </c>
      <c r="F125">
        <v>0.171493</v>
      </c>
      <c r="G125">
        <v>0.20159</v>
      </c>
      <c r="H125">
        <v>0.480582</v>
      </c>
      <c r="I125">
        <v>7.88419</v>
      </c>
      <c r="J125">
        <v>3.789</v>
      </c>
      <c r="K125">
        <v>22.0452</v>
      </c>
      <c r="L125">
        <v>2.79613</v>
      </c>
      <c r="M125">
        <v>30.8253</v>
      </c>
      <c r="N125">
        <v>4.94908</v>
      </c>
      <c r="O125">
        <v>2.634</v>
      </c>
      <c r="P125">
        <v>0.0880221</v>
      </c>
      <c r="Q125">
        <v>0.0806096</v>
      </c>
      <c r="R125">
        <v>0.297223</v>
      </c>
      <c r="S125">
        <v>8.86204</v>
      </c>
      <c r="T125">
        <v>2.634</v>
      </c>
      <c r="U125">
        <v>29.2505</v>
      </c>
      <c r="V125">
        <v>3.30065</v>
      </c>
      <c r="W125">
        <v>42.5024</v>
      </c>
      <c r="X125">
        <v>5.90227</v>
      </c>
      <c r="Y125">
        <v>0.55468</v>
      </c>
      <c r="Z125">
        <v>0.0813873</v>
      </c>
      <c r="AA125">
        <v>0.00268775</v>
      </c>
      <c r="AB125">
        <v>0.0964941</v>
      </c>
      <c r="AC125">
        <v>5.74833</v>
      </c>
      <c r="AD125">
        <v>0.55468</v>
      </c>
      <c r="AE125">
        <v>6.81531</v>
      </c>
      <c r="AF125">
        <v>1.18562</v>
      </c>
      <c r="AG125">
        <v>40.5828</v>
      </c>
      <c r="AH125">
        <v>4.99417</v>
      </c>
      <c r="AI125">
        <v>0.60968</v>
      </c>
      <c r="AJ125">
        <v>0.0833158</v>
      </c>
      <c r="AK125">
        <v>0.00291307</v>
      </c>
      <c r="AL125">
        <v>0.0992674</v>
      </c>
      <c r="AM125">
        <v>6.14179</v>
      </c>
      <c r="AN125">
        <v>0.60968</v>
      </c>
      <c r="AO125">
        <v>7.31587</v>
      </c>
      <c r="AP125">
        <v>1.19116</v>
      </c>
      <c r="AQ125">
        <v>53.7611</v>
      </c>
      <c r="AR125">
        <v>6.12735</v>
      </c>
      <c r="AS125">
        <f t="shared" si="4"/>
        <v>6.83096560178842</v>
      </c>
      <c r="AT125">
        <f t="shared" si="5"/>
        <v>4.32029917333683</v>
      </c>
      <c r="AU125">
        <f t="shared" si="6"/>
        <v>1.155</v>
      </c>
      <c r="AV125">
        <v>1.44469e-6</v>
      </c>
      <c r="AW125">
        <v>8.98939e-7</v>
      </c>
      <c r="AX125">
        <v>4.07018e-7</v>
      </c>
      <c r="AY125">
        <v>4.16663e-7</v>
      </c>
      <c r="AZ125">
        <v>244167</v>
      </c>
      <c r="BA125">
        <v>-95723.3</v>
      </c>
      <c r="BB125">
        <v>262300</v>
      </c>
      <c r="BC125">
        <v>-21.4</v>
      </c>
      <c r="BD125">
        <v>194720</v>
      </c>
      <c r="BE125">
        <f t="shared" si="7"/>
        <v>5.28941056088599</v>
      </c>
      <c r="BF125">
        <v>3.4763e-9</v>
      </c>
      <c r="BG125">
        <v>-8.45888275157822</v>
      </c>
      <c r="BH125">
        <v>0.78169</v>
      </c>
      <c r="BI125">
        <v>2196</v>
      </c>
      <c r="BJ125">
        <v>132750</v>
      </c>
      <c r="BK125">
        <v>5.12303452975351</v>
      </c>
      <c r="BL125">
        <v>5.5864e-9</v>
      </c>
      <c r="BM125">
        <v>-8.9253663817031</v>
      </c>
    </row>
    <row r="126" spans="1:65">
      <c r="A126">
        <v>124</v>
      </c>
      <c r="B126">
        <v>32</v>
      </c>
      <c r="C126" t="s">
        <v>65</v>
      </c>
      <c r="D126">
        <v>0</v>
      </c>
      <c r="E126">
        <v>8.74493</v>
      </c>
      <c r="F126">
        <v>0.848921</v>
      </c>
      <c r="G126">
        <v>1.96459</v>
      </c>
      <c r="H126">
        <v>1.63855</v>
      </c>
      <c r="I126">
        <v>5.33698</v>
      </c>
      <c r="J126">
        <v>8.74493</v>
      </c>
      <c r="K126">
        <v>10.1638</v>
      </c>
      <c r="L126">
        <v>1.9044</v>
      </c>
      <c r="M126">
        <v>11.7488</v>
      </c>
      <c r="N126">
        <v>2.79346</v>
      </c>
      <c r="O126">
        <v>8.444</v>
      </c>
      <c r="P126">
        <v>0.924717</v>
      </c>
      <c r="Q126">
        <v>1.45216</v>
      </c>
      <c r="R126">
        <v>1.51887</v>
      </c>
      <c r="S126">
        <v>5.55939</v>
      </c>
      <c r="T126">
        <v>8.444</v>
      </c>
      <c r="U126">
        <v>9.13144</v>
      </c>
      <c r="V126">
        <v>1.64252</v>
      </c>
      <c r="W126">
        <v>15.1916</v>
      </c>
      <c r="X126">
        <v>3.29349</v>
      </c>
      <c r="Y126">
        <v>0.12264</v>
      </c>
      <c r="Z126">
        <v>-0.0754608</v>
      </c>
      <c r="AA126">
        <v>0.00120067</v>
      </c>
      <c r="AB126">
        <v>0.0830347</v>
      </c>
      <c r="AC126">
        <v>1.47697</v>
      </c>
      <c r="AD126">
        <v>0.12264</v>
      </c>
      <c r="AE126">
        <v>1.56687</v>
      </c>
      <c r="AF126">
        <v>1.06087</v>
      </c>
      <c r="AG126">
        <v>9.76861</v>
      </c>
      <c r="AH126">
        <v>1.68507</v>
      </c>
      <c r="AI126">
        <v>0.15688</v>
      </c>
      <c r="AJ126">
        <v>-0.0696641</v>
      </c>
      <c r="AK126">
        <v>0.00105196</v>
      </c>
      <c r="AL126">
        <v>0.0768429</v>
      </c>
      <c r="AM126">
        <v>2.04157</v>
      </c>
      <c r="AN126">
        <v>0.15688</v>
      </c>
      <c r="AO126">
        <v>2.16818</v>
      </c>
      <c r="AP126">
        <v>1.06202</v>
      </c>
      <c r="AQ126">
        <v>10.1886</v>
      </c>
      <c r="AR126">
        <v>1.87211</v>
      </c>
      <c r="AS126">
        <f t="shared" si="4"/>
        <v>71.3056914546641</v>
      </c>
      <c r="AT126">
        <f t="shared" si="5"/>
        <v>53.8245792962774</v>
      </c>
      <c r="AU126">
        <f t="shared" si="6"/>
        <v>0.300929999999999</v>
      </c>
      <c r="AV126">
        <v>-1.90184e-6</v>
      </c>
      <c r="AW126">
        <v>-2.1934e-6</v>
      </c>
      <c r="AX126">
        <v>-3.7738e-7</v>
      </c>
      <c r="AY126">
        <v>-3.4839e-7</v>
      </c>
      <c r="AZ126">
        <v>2372670</v>
      </c>
      <c r="BA126">
        <v>-2019670</v>
      </c>
      <c r="BB126">
        <v>3115670</v>
      </c>
      <c r="BC126">
        <v>-40.4333</v>
      </c>
      <c r="BD126">
        <v>10018000</v>
      </c>
      <c r="BE126">
        <f t="shared" si="7"/>
        <v>7.0007810273535</v>
      </c>
      <c r="BF126">
        <v>3.2816e-9</v>
      </c>
      <c r="BG126">
        <v>-8.48391435697571</v>
      </c>
      <c r="BH126">
        <v>0.63811</v>
      </c>
      <c r="BI126">
        <v>5502</v>
      </c>
      <c r="BJ126">
        <v>513780</v>
      </c>
      <c r="BK126">
        <v>5.71077719440543</v>
      </c>
      <c r="BL126">
        <v>5.1904e-10</v>
      </c>
      <c r="BM126">
        <v>-9.82393769487492</v>
      </c>
    </row>
    <row r="127" spans="1:65">
      <c r="A127">
        <v>125</v>
      </c>
      <c r="B127">
        <v>32</v>
      </c>
      <c r="C127" t="s">
        <v>66</v>
      </c>
      <c r="D127">
        <v>1</v>
      </c>
      <c r="E127">
        <v>8.871</v>
      </c>
      <c r="F127">
        <v>0.9646</v>
      </c>
      <c r="G127">
        <v>2.15946</v>
      </c>
      <c r="H127">
        <v>1.75769</v>
      </c>
      <c r="I127">
        <v>5.04696</v>
      </c>
      <c r="J127">
        <v>8.871</v>
      </c>
      <c r="K127">
        <v>9.19127</v>
      </c>
      <c r="L127">
        <v>1.82115</v>
      </c>
      <c r="M127">
        <v>10.3421</v>
      </c>
      <c r="N127">
        <v>2.58327</v>
      </c>
      <c r="O127">
        <v>7.788</v>
      </c>
      <c r="P127">
        <v>0.74703</v>
      </c>
      <c r="Q127">
        <v>1.33542</v>
      </c>
      <c r="R127">
        <v>1.37594</v>
      </c>
      <c r="S127">
        <v>5.66013</v>
      </c>
      <c r="T127">
        <v>7.788</v>
      </c>
      <c r="U127">
        <v>10.4234</v>
      </c>
      <c r="V127">
        <v>1.84155</v>
      </c>
      <c r="W127">
        <v>14.2714</v>
      </c>
      <c r="X127">
        <v>3.17749</v>
      </c>
      <c r="Y127">
        <v>0.18348</v>
      </c>
      <c r="Z127">
        <v>-0.0558811</v>
      </c>
      <c r="AA127">
        <v>0.00143415</v>
      </c>
      <c r="AB127">
        <v>0.0675023</v>
      </c>
      <c r="AC127">
        <v>2.71813</v>
      </c>
      <c r="AD127">
        <v>0.18348</v>
      </c>
      <c r="AE127">
        <v>3.004</v>
      </c>
      <c r="AF127">
        <v>1.10517</v>
      </c>
      <c r="AG127">
        <v>8.43532</v>
      </c>
      <c r="AH127">
        <v>1.70977</v>
      </c>
      <c r="AI127">
        <v>0.17904</v>
      </c>
      <c r="AJ127">
        <v>-0.0539099</v>
      </c>
      <c r="AK127">
        <v>0.00150635</v>
      </c>
      <c r="AL127">
        <v>0.0664254</v>
      </c>
      <c r="AM127">
        <v>2.69536</v>
      </c>
      <c r="AN127">
        <v>0.17904</v>
      </c>
      <c r="AO127">
        <v>3.00764</v>
      </c>
      <c r="AP127">
        <v>1.11586</v>
      </c>
      <c r="AQ127">
        <v>9.78255</v>
      </c>
      <c r="AR127">
        <v>1.97923</v>
      </c>
      <c r="AS127">
        <f t="shared" si="4"/>
        <v>48.348593852191</v>
      </c>
      <c r="AT127">
        <f t="shared" si="5"/>
        <v>43.4986595174263</v>
      </c>
      <c r="AU127">
        <f t="shared" si="6"/>
        <v>1.083</v>
      </c>
      <c r="AV127">
        <v>-1.16794e-6</v>
      </c>
      <c r="AW127">
        <v>-8.77352e-7</v>
      </c>
      <c r="AX127">
        <v>-2.79461e-7</v>
      </c>
      <c r="AY127">
        <v>-2.69603e-7</v>
      </c>
      <c r="AZ127">
        <v>3512670</v>
      </c>
      <c r="BA127">
        <v>-4954330</v>
      </c>
      <c r="BB127">
        <v>6075670</v>
      </c>
      <c r="BC127">
        <v>-54.8667</v>
      </c>
      <c r="BD127">
        <v>19100000</v>
      </c>
      <c r="BE127">
        <f t="shared" si="7"/>
        <v>7.28103336724773</v>
      </c>
      <c r="BF127">
        <v>3.6732e-10</v>
      </c>
      <c r="BG127">
        <v>-9.43495542435504</v>
      </c>
      <c r="BH127">
        <v>0.84105</v>
      </c>
      <c r="BI127">
        <v>16071</v>
      </c>
      <c r="BJ127">
        <v>491390</v>
      </c>
      <c r="BK127">
        <v>5.69142631415259</v>
      </c>
      <c r="BL127">
        <v>5.0162e-10</v>
      </c>
      <c r="BM127">
        <v>-9.78722662648009</v>
      </c>
    </row>
    <row r="128" spans="1:65">
      <c r="A128">
        <v>126</v>
      </c>
      <c r="B128">
        <v>32</v>
      </c>
      <c r="C128" t="s">
        <v>67</v>
      </c>
      <c r="D128">
        <v>2</v>
      </c>
      <c r="E128">
        <v>8.973</v>
      </c>
      <c r="F128">
        <v>0.893768</v>
      </c>
      <c r="G128">
        <v>2.24675</v>
      </c>
      <c r="H128">
        <v>1.74503</v>
      </c>
      <c r="I128">
        <v>5.14204</v>
      </c>
      <c r="J128">
        <v>8.973</v>
      </c>
      <c r="K128">
        <v>10.0395</v>
      </c>
      <c r="L128">
        <v>1.95244</v>
      </c>
      <c r="M128">
        <v>10.6285</v>
      </c>
      <c r="N128">
        <v>2.66292</v>
      </c>
      <c r="O128">
        <v>9.46</v>
      </c>
      <c r="P128">
        <v>1.12249</v>
      </c>
      <c r="Q128">
        <v>2.23153</v>
      </c>
      <c r="R128">
        <v>1.86844</v>
      </c>
      <c r="S128">
        <v>5.06306</v>
      </c>
      <c r="T128">
        <v>9.46</v>
      </c>
      <c r="U128">
        <v>8.42772</v>
      </c>
      <c r="V128">
        <v>1.66455</v>
      </c>
      <c r="W128">
        <v>12.2219</v>
      </c>
      <c r="X128">
        <v>2.90432</v>
      </c>
      <c r="Y128">
        <v>0.10644</v>
      </c>
      <c r="Z128">
        <v>-0.0637188</v>
      </c>
      <c r="AA128">
        <v>0.0011062</v>
      </c>
      <c r="AB128">
        <v>0.0718754</v>
      </c>
      <c r="AC128">
        <v>1.4809</v>
      </c>
      <c r="AD128">
        <v>0.10644</v>
      </c>
      <c r="AE128">
        <v>1.61808</v>
      </c>
      <c r="AF128">
        <v>1.09264</v>
      </c>
      <c r="AG128">
        <v>5.51753</v>
      </c>
      <c r="AH128">
        <v>1.09486</v>
      </c>
      <c r="AI128">
        <v>0.12124</v>
      </c>
      <c r="AJ128">
        <v>-0.0646628</v>
      </c>
      <c r="AK128">
        <v>0.00135282</v>
      </c>
      <c r="AL128">
        <v>0.0743897</v>
      </c>
      <c r="AM128">
        <v>1.6298</v>
      </c>
      <c r="AN128">
        <v>0.12124</v>
      </c>
      <c r="AO128">
        <v>1.76553</v>
      </c>
      <c r="AP128">
        <v>1.08329</v>
      </c>
      <c r="AQ128">
        <v>6.653</v>
      </c>
      <c r="AR128">
        <v>1.41072</v>
      </c>
      <c r="AS128">
        <f t="shared" si="4"/>
        <v>84.3010146561443</v>
      </c>
      <c r="AT128">
        <f t="shared" si="5"/>
        <v>78.0270537776312</v>
      </c>
      <c r="AU128">
        <f t="shared" si="6"/>
        <v>-0.487</v>
      </c>
      <c r="AV128">
        <v>-1.83146e-6</v>
      </c>
      <c r="AW128">
        <v>-2.14413e-6</v>
      </c>
      <c r="AX128">
        <v>-3.18658e-7</v>
      </c>
      <c r="AY128">
        <v>-3.23379e-7</v>
      </c>
      <c r="AZ128">
        <v>3007000</v>
      </c>
      <c r="BA128">
        <v>-2867000</v>
      </c>
      <c r="BB128">
        <v>4155670</v>
      </c>
      <c r="BC128">
        <v>-43.7333</v>
      </c>
      <c r="BD128">
        <v>11265000</v>
      </c>
      <c r="BE128">
        <f t="shared" si="7"/>
        <v>7.05173119605985</v>
      </c>
      <c r="BF128">
        <v>1.9609e-9</v>
      </c>
      <c r="BG128">
        <v>-8.70754455347936</v>
      </c>
      <c r="BH128">
        <v>0.68178</v>
      </c>
      <c r="BI128">
        <v>8597</v>
      </c>
      <c r="BJ128">
        <v>930070</v>
      </c>
      <c r="BK128">
        <v>5.96851563615574</v>
      </c>
      <c r="BL128">
        <v>3.3508e-10</v>
      </c>
      <c r="BM128">
        <v>-10.0511519795796</v>
      </c>
    </row>
    <row r="129" spans="1:65">
      <c r="A129">
        <v>127</v>
      </c>
      <c r="B129">
        <v>32</v>
      </c>
      <c r="C129" t="s">
        <v>68</v>
      </c>
      <c r="D129">
        <v>3</v>
      </c>
      <c r="E129">
        <v>7.8784</v>
      </c>
      <c r="F129">
        <v>0.74897</v>
      </c>
      <c r="G129">
        <v>1.45319</v>
      </c>
      <c r="H129">
        <v>1.4191</v>
      </c>
      <c r="I129">
        <v>5.55167</v>
      </c>
      <c r="J129">
        <v>7.8784</v>
      </c>
      <c r="K129">
        <v>10.5172</v>
      </c>
      <c r="L129">
        <v>1.89442</v>
      </c>
      <c r="M129">
        <v>13.2198</v>
      </c>
      <c r="N129">
        <v>3.04173</v>
      </c>
      <c r="O129">
        <v>7.59</v>
      </c>
      <c r="P129">
        <v>0.618911</v>
      </c>
      <c r="Q129">
        <v>1.24186</v>
      </c>
      <c r="R129">
        <v>1.27462</v>
      </c>
      <c r="S129">
        <v>5.95471</v>
      </c>
      <c r="T129">
        <v>7.59</v>
      </c>
      <c r="U129">
        <v>12.2607</v>
      </c>
      <c r="V129">
        <v>2.05899</v>
      </c>
      <c r="W129">
        <v>15.2396</v>
      </c>
      <c r="X129">
        <v>3.31053</v>
      </c>
      <c r="Y129">
        <v>0.2658</v>
      </c>
      <c r="Z129">
        <v>0.00533925</v>
      </c>
      <c r="AA129">
        <v>0.00143643</v>
      </c>
      <c r="AB129">
        <v>0.0382708</v>
      </c>
      <c r="AC129">
        <v>6.94524</v>
      </c>
      <c r="AD129">
        <v>0.2658</v>
      </c>
      <c r="AE129">
        <v>11.4328</v>
      </c>
      <c r="AF129">
        <v>1.64614</v>
      </c>
      <c r="AG129">
        <v>10.744</v>
      </c>
      <c r="AH129">
        <v>1.82984</v>
      </c>
      <c r="AI129">
        <v>0.28016</v>
      </c>
      <c r="AJ129">
        <v>0.000914689</v>
      </c>
      <c r="AK129">
        <v>0.00142718</v>
      </c>
      <c r="AL129">
        <v>0.0377853</v>
      </c>
      <c r="AM129">
        <v>7.41452</v>
      </c>
      <c r="AN129">
        <v>0.28016</v>
      </c>
      <c r="AO129">
        <v>13.8673</v>
      </c>
      <c r="AP129">
        <v>1.87029</v>
      </c>
      <c r="AQ129">
        <v>18.4245</v>
      </c>
      <c r="AR129">
        <v>2.63715</v>
      </c>
      <c r="AS129">
        <f t="shared" si="4"/>
        <v>29.640331075997</v>
      </c>
      <c r="AT129">
        <f t="shared" si="5"/>
        <v>27.0916619074814</v>
      </c>
      <c r="AU129">
        <f t="shared" si="6"/>
        <v>0.2884</v>
      </c>
      <c r="AV129">
        <v>1.47913e-6</v>
      </c>
      <c r="AW129">
        <v>1.3088e-6</v>
      </c>
      <c r="AX129">
        <v>2.67016e-8</v>
      </c>
      <c r="AY129">
        <v>4.57436e-9</v>
      </c>
      <c r="AZ129">
        <v>3124330</v>
      </c>
      <c r="BA129">
        <v>-2457000</v>
      </c>
      <c r="BB129">
        <v>3978000</v>
      </c>
      <c r="BC129">
        <v>-38.3333</v>
      </c>
      <c r="BD129">
        <v>7174300</v>
      </c>
      <c r="BE129">
        <f t="shared" si="7"/>
        <v>6.8557795331457</v>
      </c>
      <c r="BF129">
        <v>5.7782e-10</v>
      </c>
      <c r="BG129">
        <v>-9.23820743005964</v>
      </c>
      <c r="BH129">
        <v>0.79403</v>
      </c>
      <c r="BI129">
        <v>10361</v>
      </c>
      <c r="BJ129">
        <v>150470</v>
      </c>
      <c r="BK129">
        <v>5.17744992097183</v>
      </c>
      <c r="BL129">
        <v>8.8021e-10</v>
      </c>
      <c r="BM129">
        <v>-9.21995645887988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ED70AB-A07B-4ABF-A204-D6F08A07B25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someone lin</dc:creator>
  <cp:lastModifiedBy>user</cp:lastModifiedBy>
  <dcterms:created xsi:type="dcterms:W3CDTF">2015-06-05T18:19:00Z</dcterms:created>
  <dcterms:modified xsi:type="dcterms:W3CDTF">2024-06-29T06:35:54Z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3C248181EBFB4A538E42BF216F32672D_12</vt:lpwstr>
  </property>
  <property fmtid="{D5CDD505-2E9C-101B-9397-08002B2CF9AE}" pid="3" name="KSOProductBuildVer">
    <vt:lpwstr>2052-12.1.0.16399</vt:lpwstr>
  </property>
</Properties>
</file>